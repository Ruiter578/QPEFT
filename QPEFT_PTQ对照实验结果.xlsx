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vitb_vtab_234bit" sheetId="2" r:id="rId5"/>
    <sheet name="vitl_vtab_234bit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<sst xmlns="http://schemas.openxmlformats.org/spreadsheetml/2006/main" count="1" uniqueCount="1">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</sst>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@"/>
    <numFmt numFmtId="165" formatCode="0.00_ "/>
    <numFmt numFmtId="166" formatCode="0.00_ "/>
    <numFmt numFmtId="167" formatCode="0.00_);(0.00)"/>
    <numFmt numFmtId="168" formatCode="@"/>
    <numFmt numFmtId="169" formatCode="0.00_);(0.00)"/>
    <numFmt numFmtId="170" formatCode="0.00_ "/>
    <numFmt numFmtId="171" formatCode="0.00_);(0.00)"/>
    <numFmt numFmtId="172" formatCode="0.00_ "/>
    <numFmt numFmtId="173" formatCode="0.00_);(0.00)"/>
  </numFmts>
  <fonts count="8">
    <font>
      <sz val="10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b val="true"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 val="true"/>
      <sz val="11"/>
      <color rgb="FFF54A45"/>
      <name val="Calibri"/>
      <family val="2"/>
      <scheme val="minor"/>
    </font>
    <font>
      <sz val="10"/>
      <color rgb="FFF54A45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  <xf applyAlignment="true" applyBorder="false" applyFill="false" applyFont="true" applyNumberFormat="true" applyProtection="false" borderId="3" fillId="0" fontId="1" numFmtId="164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false" applyFont="true" applyNumberFormat="true" applyProtection="false" borderId="5" fillId="0" fontId="2" numFmtId="165" xfId="0">
      <alignment horizontal="center" vertical="center" wrapText="true"/>
    </xf>
    <xf applyAlignment="true" applyBorder="false" applyFill="false" applyFont="true" applyNumberFormat="true" applyProtection="false" borderId="6" fillId="0" fontId="3" numFmtId="166" xfId="0">
      <alignment horizontal="center" vertical="center"/>
    </xf>
    <xf applyAlignment="true" applyBorder="false" applyFill="false" applyFont="true" applyNumberFormat="false" applyProtection="false" borderId="7" fillId="0" fontId="3" numFmtId="0" xfId="0">
      <alignment horizontal="center" vertical="center"/>
    </xf>
    <xf applyAlignment="true" applyBorder="false" applyFill="false" applyFont="true" applyNumberFormat="false" applyProtection="false" borderId="8" fillId="0" fontId="4" numFmtId="0" xfId="0">
      <alignment horizontal="center" vertical="center"/>
    </xf>
    <xf applyAlignment="true" applyBorder="false" applyFill="false" applyFont="true" applyNumberFormat="false" applyProtection="false" borderId="9" fillId="0" fontId="3" numFmtId="0" xfId="0">
      <alignment vertical="center"/>
    </xf>
    <xf applyAlignment="true" applyBorder="false" applyFill="false" applyFont="true" applyNumberFormat="true" applyProtection="false" borderId="10" fillId="0" fontId="4" numFmtId="167" xfId="0">
      <alignment horizontal="center" vertical="center"/>
    </xf>
    <xf applyAlignment="true" applyBorder="false" applyFill="false" applyFont="true" applyNumberFormat="true" applyProtection="false" borderId="11" fillId="0" fontId="3" numFmtId="168" xfId="0">
      <alignment horizontal="center" vertical="center" wrapText="true"/>
    </xf>
    <xf applyAlignment="true" applyBorder="false" applyFill="false" applyFont="true" applyNumberFormat="true" applyProtection="false" borderId="12" fillId="0" fontId="3" numFmtId="169" xfId="0">
      <alignment horizontal="center" vertical="center"/>
    </xf>
    <xf applyAlignment="true" applyBorder="false" applyFill="false" applyFont="true" applyNumberFormat="true" applyProtection="false" borderId="13" fillId="0" fontId="5" numFmtId="170" xfId="0">
      <alignment horizontal="center" vertical="center" wrapText="true"/>
    </xf>
    <xf applyAlignment="true" applyBorder="false" applyFill="false" applyFont="true" applyNumberFormat="true" applyProtection="false" borderId="14" fillId="0" fontId="6" numFmtId="171" xfId="0">
      <alignment horizontal="center" vertical="center"/>
    </xf>
    <xf applyAlignment="true" applyBorder="false" applyFill="false" applyFont="true" applyNumberFormat="false" applyProtection="false" borderId="15" fillId="0" fontId="4" numFmtId="0" xfId="0">
      <alignment vertical="center"/>
    </xf>
    <xf applyAlignment="true" applyBorder="false" applyFill="false" applyFont="true" applyNumberFormat="true" applyProtection="false" borderId="16" fillId="0" fontId="3" numFmtId="172" xfId="0">
      <alignment horizontal="center" vertical="center" wrapText="true"/>
    </xf>
    <xf applyAlignment="true" applyBorder="false" applyFill="false" applyFont="true" applyNumberFormat="true" applyProtection="false" borderId="17" fillId="0" fontId="7" numFmtId="173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  <col collapsed="false" customWidth="true" hidden="false" max="21" min="21" style="0" width="10"/>
    <col collapsed="false" customWidth="true" hidden="false" max="22" min="22" style="0" width="10"/>
    <col collapsed="false" customWidth="true" hidden="false" max="23" min="23" style="0" width="10"/>
    <col collapsed="false" customWidth="true" hidden="false" max="24" min="24" style="0" width="10"/>
    <col collapsed="false" customWidth="true" hidden="false" max="25" min="25" style="0" width="10"/>
    <col collapsed="false" customWidth="true" hidden="false" max="26" min="26" style="0" width="9"/>
    <col collapsed="false" customWidth="true" hidden="false" max="27" min="27" style="0" width="15"/>
    <col collapsed="false" customWidth="true" hidden="false" max="28" min="28" style="0" width="10"/>
  </cols>
  <sheetData>
    <row customHeight="true" ht="15" r="1">
      <c r="A1" s="3" t="str">
        <v>Methods</v>
      </c>
      <c r="B1" s="3" t="str">
        <v>W/A</v>
      </c>
      <c r="C1" s="1" t="str">
        <v>Natural</v>
      </c>
      <c r="D1" s="1"/>
      <c r="E1" s="1"/>
      <c r="F1" s="1"/>
      <c r="G1" s="1"/>
      <c r="H1" s="1"/>
      <c r="I1" s="1"/>
      <c r="J1" s="1"/>
      <c r="K1" s="1" t="str">
        <v>Specialized</v>
      </c>
      <c r="L1" s="1"/>
      <c r="M1" s="1"/>
      <c r="N1" s="1"/>
      <c r="O1" s="1"/>
      <c r="P1" s="1" t="str">
        <v>Structured</v>
      </c>
      <c r="Q1" s="1"/>
      <c r="R1" s="1"/>
      <c r="S1" s="1"/>
      <c r="T1" s="1"/>
      <c r="U1" s="1"/>
      <c r="V1" s="1"/>
      <c r="W1" s="1"/>
      <c r="X1" s="1"/>
      <c r="Y1" s="2"/>
      <c r="Z1" s="2"/>
      <c r="AA1" s="1" t="str">
        <v>comments</v>
      </c>
      <c r="AB1" s="4" t="str">
        <v>server</v>
      </c>
    </row>
    <row customHeight="true" ht="30" r="2">
      <c r="A2" s="11"/>
      <c r="B2" s="11"/>
      <c r="C2" s="4" t="str">
        <v>Cifar100</v>
      </c>
      <c r="D2" s="4" t="str">
        <v>Caltech101</v>
      </c>
      <c r="E2" s="4" t="str">
        <v>DTD</v>
      </c>
      <c r="F2" s="4" t="str">
        <v>Flowers102</v>
      </c>
      <c r="G2" s="4" t="str">
        <v>Pets</v>
      </c>
      <c r="H2" s="4" t="str">
        <v>SVHN</v>
      </c>
      <c r="I2" s="4" t="str">
        <v>Sun397</v>
      </c>
      <c r="J2" s="2" t="str">
        <v>Group Avg.</v>
      </c>
      <c r="K2" s="4" t="str">
        <v>Camelyon</v>
      </c>
      <c r="L2" s="4" t="str">
        <v>EuroSAT</v>
      </c>
      <c r="M2" s="4" t="str">
        <v>Resisc45</v>
      </c>
      <c r="N2" s="4" t="str">
        <v>Retinopathy</v>
      </c>
      <c r="O2" s="2" t="str">
        <v>Group Avg.</v>
      </c>
      <c r="P2" s="4" t="str">
        <v>Clevr-Count</v>
      </c>
      <c r="Q2" s="4" t="str">
        <v>Clevr-Dist</v>
      </c>
      <c r="R2" s="4" t="str">
        <v>DMLAB</v>
      </c>
      <c r="S2" s="4" t="str">
        <v>KITTI-Dist</v>
      </c>
      <c r="T2" s="4" t="str">
        <v>dSpr-Loc</v>
      </c>
      <c r="U2" s="4" t="str">
        <v>dSpr-Ori</v>
      </c>
      <c r="V2" s="4" t="str">
        <v>sNORB-Azim</v>
      </c>
      <c r="W2" s="4" t="str">
        <v>sNORB-Ele</v>
      </c>
      <c r="X2" s="2" t="str">
        <v>Group Avg.</v>
      </c>
      <c r="Y2" s="2" t="str">
        <v>Average</v>
      </c>
      <c r="Z2" s="2" t="str">
        <v>Tot. Avg</v>
      </c>
      <c r="AA2" s="4"/>
    </row>
    <row customHeight="true" ht="30" r="3">
      <c r="A3" s="11" t="str">
        <v>FP32 fine-tuned ViT</v>
      </c>
      <c r="B3" s="11" t="str">
        <v>32bit</v>
      </c>
      <c r="C3" s="16">
        <v>73.08</v>
      </c>
      <c r="D3" s="16">
        <v>93.26</v>
      </c>
      <c r="E3" s="16">
        <v>70.96</v>
      </c>
      <c r="F3" s="16">
        <v>99.14</v>
      </c>
      <c r="G3" s="16">
        <v>90.9</v>
      </c>
      <c r="H3" s="16">
        <v>86.46</v>
      </c>
      <c r="I3" s="16">
        <v>55.59</v>
      </c>
      <c r="J3" s="5">
        <f>AVERAGE(C3:I3)</f>
      </c>
      <c r="K3" s="16">
        <v>87.75</v>
      </c>
      <c r="L3" s="16">
        <v>95.54</v>
      </c>
      <c r="M3" s="16">
        <v>85.86</v>
      </c>
      <c r="N3" s="16">
        <v>75.41</v>
      </c>
      <c r="O3" s="5">
        <f>AVERAGE(K3:N3)</f>
      </c>
      <c r="P3" s="16">
        <v>79.59</v>
      </c>
      <c r="Q3" s="16">
        <v>63.2</v>
      </c>
      <c r="R3" s="16">
        <v>50.57</v>
      </c>
      <c r="S3" s="16">
        <v>80.03</v>
      </c>
      <c r="T3" s="16">
        <v>83.81</v>
      </c>
      <c r="U3" s="16">
        <v>51.65</v>
      </c>
      <c r="V3" s="16">
        <v>31.16</v>
      </c>
      <c r="W3" s="16">
        <v>42.41</v>
      </c>
      <c r="X3" s="5">
        <f>AVERAGE(P3:W3)</f>
      </c>
      <c r="Y3" s="5">
        <f>AVERAGE(J3,O3,X3)</f>
      </c>
      <c r="Z3" s="13">
        <f>AVERAGE(C3:I3,K3:N3,P3:W3)</f>
      </c>
      <c r="AA3" s="4"/>
      <c r="AB3" s="4">
        <v>190</v>
      </c>
    </row>
    <row customHeight="true" ht="15" r="4">
      <c r="A4" s="7" t="str">
        <v>Adalog</v>
      </c>
      <c r="B4" s="7" t="str">
        <v>3bit</v>
      </c>
      <c r="C4" s="6">
        <v>56.01</v>
      </c>
      <c r="D4" s="6">
        <v>85.9</v>
      </c>
      <c r="E4" s="6">
        <v>61.44</v>
      </c>
      <c r="F4" s="6">
        <v>96.83</v>
      </c>
      <c r="G4" s="6">
        <v>79.69</v>
      </c>
      <c r="H4" s="6">
        <v>79.68</v>
      </c>
      <c r="I4" s="6">
        <v>44.68</v>
      </c>
      <c r="J4" s="5">
        <f>AVERAGE(C4:I4)</f>
      </c>
      <c r="K4" s="6">
        <v>79.53</v>
      </c>
      <c r="L4" s="6">
        <v>89.78</v>
      </c>
      <c r="M4" s="6">
        <v>72.32</v>
      </c>
      <c r="N4" s="6">
        <v>74.35</v>
      </c>
      <c r="O4" s="5">
        <f>AVERAGE(K4:N4)</f>
      </c>
      <c r="P4" s="6">
        <v>54.66</v>
      </c>
      <c r="Q4" s="6">
        <v>45.08</v>
      </c>
      <c r="R4" s="6">
        <v>39.07</v>
      </c>
      <c r="S4" s="6">
        <v>66.39</v>
      </c>
      <c r="T4" s="6">
        <v>53.58</v>
      </c>
      <c r="U4" s="6">
        <v>27.33</v>
      </c>
      <c r="V4" s="6">
        <v>20.58</v>
      </c>
      <c r="W4" s="6">
        <v>19.76</v>
      </c>
      <c r="X4" s="5">
        <f>AVERAGE(P4:W4)</f>
      </c>
      <c r="Y4" s="5">
        <f>AVERAGE(J4,O4,X4)</f>
      </c>
      <c r="Z4" s="13">
        <f>AVERAGE(C4:I4,K4:N4,P4:W4)</f>
      </c>
      <c r="AA4" s="7"/>
    </row>
    <row customHeight="true" ht="15" r="5">
      <c r="A5" s="7"/>
      <c r="B5" s="7"/>
      <c r="C5" s="7">
        <v>796</v>
      </c>
      <c r="D5" s="7">
        <v>2406.8</v>
      </c>
      <c r="E5" s="7">
        <v>2391.3</v>
      </c>
      <c r="F5" s="7">
        <v>1815.2</v>
      </c>
      <c r="G5" s="7">
        <v>1695.1</v>
      </c>
      <c r="H5" s="7">
        <v>1704.6</v>
      </c>
      <c r="I5" s="7">
        <v>2015.6</v>
      </c>
      <c r="J5" s="7"/>
      <c r="K5" s="7">
        <v>868.9</v>
      </c>
      <c r="L5" s="7">
        <v>2272.2</v>
      </c>
      <c r="M5" s="7">
        <v>1712.5</v>
      </c>
      <c r="N5" s="7">
        <v>1733.4</v>
      </c>
      <c r="O5" s="7"/>
      <c r="P5" s="7">
        <v>1723.2</v>
      </c>
      <c r="Q5" s="7">
        <v>1648.7</v>
      </c>
      <c r="R5" s="7">
        <v>874.6</v>
      </c>
      <c r="S5" s="7">
        <v>854.3</v>
      </c>
      <c r="T5" s="7">
        <v>873.7</v>
      </c>
      <c r="U5" s="7">
        <v>860.3</v>
      </c>
      <c r="V5" s="7">
        <v>857.4</v>
      </c>
      <c r="W5" s="7">
        <v>854.7</v>
      </c>
      <c r="X5" s="7"/>
      <c r="Y5" s="7"/>
      <c r="Z5" s="7"/>
      <c r="AA5" s="7"/>
    </row>
    <row customHeight="true" ht="15"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customHeight="true" ht="15" r="7">
      <c r="A7" s="7"/>
      <c r="B7" s="8" t="str">
        <v>4-bit</v>
      </c>
      <c r="C7" s="6">
        <v>69.68</v>
      </c>
      <c r="D7" s="6">
        <v>92.95</v>
      </c>
      <c r="E7" s="6">
        <v>69.36</v>
      </c>
      <c r="F7" s="6">
        <v>98.65</v>
      </c>
      <c r="G7" s="6">
        <v>89.56</v>
      </c>
      <c r="H7" s="6">
        <v>83.91</v>
      </c>
      <c r="I7" s="6">
        <v>53.66</v>
      </c>
      <c r="J7" s="5">
        <f>AVERAGE(C7:I7)</f>
      </c>
      <c r="K7" s="6">
        <v>86.54</v>
      </c>
      <c r="L7" s="6">
        <v>94.74</v>
      </c>
      <c r="M7" s="6">
        <v>82.94</v>
      </c>
      <c r="N7" s="6">
        <v>75.17</v>
      </c>
      <c r="O7" s="5">
        <f>AVERAGE(K7:N7)</f>
      </c>
      <c r="P7" s="6">
        <v>69.15</v>
      </c>
      <c r="Q7" s="6">
        <v>61.63</v>
      </c>
      <c r="R7" s="6">
        <v>48.1</v>
      </c>
      <c r="S7" s="6">
        <v>78.2</v>
      </c>
      <c r="T7" s="6">
        <v>74.4</v>
      </c>
      <c r="U7" s="6">
        <v>45.83</v>
      </c>
      <c r="V7" s="6">
        <v>28.3</v>
      </c>
      <c r="W7" s="6">
        <v>30.22</v>
      </c>
      <c r="X7" s="5">
        <f>AVERAGE(P7:W7)</f>
      </c>
      <c r="Y7" s="5">
        <f>AVERAGE(J7,O7,X7)</f>
      </c>
      <c r="Z7" s="13">
        <f>AVERAGE(C7:I7,K7:N7,P7:W7)</f>
      </c>
      <c r="AA7" s="7"/>
    </row>
    <row customHeight="true" ht="15" r="8">
      <c r="A8" s="7"/>
      <c r="B8" s="8"/>
      <c r="C8" s="7" t="str">
        <v>1707.7s</v>
      </c>
      <c r="D8" s="7" t="str">
        <v>2336.4s</v>
      </c>
      <c r="E8" s="7" t="str">
        <v>1917.6s</v>
      </c>
      <c r="F8" s="7" t="str">
        <v>1702.8s</v>
      </c>
      <c r="G8" s="7" t="str">
        <v>1714.0s</v>
      </c>
      <c r="H8" s="7" t="str">
        <v>1722.2s</v>
      </c>
      <c r="I8" s="7" t="str">
        <v>1722.7s</v>
      </c>
      <c r="J8" s="7"/>
      <c r="K8" s="7" t="str">
        <v>2303.5s</v>
      </c>
      <c r="L8" s="7" t="str">
        <v>1911.7s</v>
      </c>
      <c r="M8" s="7" t="str">
        <v>1733.4s</v>
      </c>
      <c r="N8" s="7" t="str">
        <v>1714.4s</v>
      </c>
      <c r="O8" s="7"/>
      <c r="P8" s="7" t="str">
        <v>1716.4s</v>
      </c>
      <c r="Q8" s="7" t="str">
        <v>1671.2s</v>
      </c>
      <c r="R8" s="7" t="str">
        <v>973.9s</v>
      </c>
      <c r="S8" s="7" t="str">
        <v>969.5s</v>
      </c>
      <c r="T8" s="7" t="str">
        <v>954.5s</v>
      </c>
      <c r="U8" s="7" t="str">
        <v>947.2s</v>
      </c>
      <c r="V8" s="7" t="str">
        <v>935s</v>
      </c>
      <c r="W8" s="7" t="str">
        <v>931.3s</v>
      </c>
      <c r="X8" s="7"/>
      <c r="Y8" s="7"/>
      <c r="Z8" s="7"/>
      <c r="AA8" s="7"/>
    </row>
    <row customHeight="true" ht="15" r="9">
      <c r="A9" s="7"/>
      <c r="B9" s="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customHeight="true" ht="15" r="10">
      <c r="A10" s="7"/>
      <c r="B10" s="8" t="str">
        <v>2bit</v>
      </c>
      <c r="C10" s="6">
        <v>2.24</v>
      </c>
      <c r="D10" s="6">
        <v>7.17</v>
      </c>
      <c r="E10" s="6">
        <v>13.56</v>
      </c>
      <c r="F10" s="6">
        <v>2.36</v>
      </c>
      <c r="G10" s="6">
        <v>4.82</v>
      </c>
      <c r="H10" s="6">
        <v>24.66</v>
      </c>
      <c r="I10" s="6">
        <v>2.37</v>
      </c>
      <c r="J10" s="5">
        <f>AVERAGE(C10:I10)</f>
      </c>
      <c r="K10" s="6">
        <v>73.83</v>
      </c>
      <c r="L10" s="6">
        <v>30.61</v>
      </c>
      <c r="M10" s="6">
        <v>19.29</v>
      </c>
      <c r="N10" s="6">
        <v>73.6</v>
      </c>
      <c r="O10" s="5">
        <f>AVERAGE(K10:N10)</f>
      </c>
      <c r="P10" s="6">
        <v>13.21</v>
      </c>
      <c r="Q10" s="6">
        <v>22.8</v>
      </c>
      <c r="R10" s="6">
        <v>15.14</v>
      </c>
      <c r="S10" s="6">
        <v>31.5</v>
      </c>
      <c r="T10" s="6">
        <v>6.55</v>
      </c>
      <c r="U10" s="6">
        <v>7.49</v>
      </c>
      <c r="V10" s="6">
        <v>5.71</v>
      </c>
      <c r="W10" s="6">
        <v>11.89</v>
      </c>
      <c r="X10" s="5">
        <f>AVERAGE(P10:W10)</f>
      </c>
      <c r="Y10" s="5">
        <f>AVERAGE(J10,O10,X10)</f>
      </c>
      <c r="Z10" s="6"/>
      <c r="AA10" s="7"/>
    </row>
    <row customHeight="true" ht="15" r="11">
      <c r="A11" s="7"/>
      <c r="B11" s="8"/>
      <c r="C11" s="7" t="str">
        <v>2128.5s</v>
      </c>
      <c r="D11" s="7" t="str">
        <v>2141.4s</v>
      </c>
      <c r="E11" s="7" t="str">
        <v>2129.3s</v>
      </c>
      <c r="F11" s="7" t="str">
        <v>2076.6s</v>
      </c>
      <c r="G11" s="7" t="str">
        <v>2034.7s</v>
      </c>
      <c r="H11" s="7" t="str">
        <v>2034.5s</v>
      </c>
      <c r="I11" s="7" t="str">
        <v>2024.7s</v>
      </c>
      <c r="J11" s="7"/>
      <c r="K11" s="7" t="str">
        <v>863.2s</v>
      </c>
      <c r="L11" s="7" t="str">
        <v>870.1s</v>
      </c>
      <c r="M11" s="7" t="str">
        <v>1205.1s</v>
      </c>
      <c r="N11" s="7" t="str">
        <v>1371.4s</v>
      </c>
      <c r="O11" s="7"/>
      <c r="P11" s="7" t="str">
        <v>1713.5s</v>
      </c>
      <c r="Q11" s="7" t="str">
        <v>1713.8s</v>
      </c>
      <c r="R11" s="7" t="str">
        <v>1705.5s</v>
      </c>
      <c r="S11" s="7" t="str">
        <v>1706.9s</v>
      </c>
      <c r="T11" s="7" t="str">
        <v>1611.8s</v>
      </c>
      <c r="U11" s="7" t="str">
        <v>864.7s</v>
      </c>
      <c r="V11" s="7" t="str">
        <v>861.1s</v>
      </c>
      <c r="W11" s="7" t="str">
        <v>874.1s</v>
      </c>
      <c r="X11" s="7"/>
      <c r="Y11" s="7"/>
      <c r="Z11" s="7"/>
      <c r="AA11" s="7"/>
    </row>
    <row customHeight="true" ht="15" r="12">
      <c r="A12" s="7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customHeight="true" ht="15" r="13">
      <c r="A13" s="9" t="str">
        <v>Repq-vit</v>
      </c>
      <c r="B13" s="7" t="str">
        <v>4 bit</v>
      </c>
      <c r="C13" s="7">
        <v>59.85</v>
      </c>
      <c r="D13" s="7">
        <v>91.14</v>
      </c>
      <c r="E13" s="7">
        <v>65.16</v>
      </c>
      <c r="F13" s="7">
        <v>98.24</v>
      </c>
      <c r="G13" s="7">
        <v>86.78</v>
      </c>
      <c r="H13" s="7">
        <v>81.88</v>
      </c>
      <c r="I13" s="7">
        <v>50.23</v>
      </c>
      <c r="J13" s="14">
        <f>AVERAGE(C13:I13)</f>
      </c>
      <c r="K13" s="7">
        <v>85.61</v>
      </c>
      <c r="L13" s="7">
        <v>92.54</v>
      </c>
      <c r="M13" s="7">
        <v>78.97</v>
      </c>
      <c r="N13" s="7">
        <v>74.58</v>
      </c>
      <c r="O13" s="14">
        <f>AVERAGE(K13:N13)</f>
      </c>
      <c r="P13" s="7">
        <v>15.67</v>
      </c>
      <c r="Q13" s="7">
        <v>50.35</v>
      </c>
      <c r="R13" s="7">
        <v>46.16</v>
      </c>
      <c r="S13" s="7">
        <v>73.98</v>
      </c>
      <c r="T13" s="7">
        <v>63.08</v>
      </c>
      <c r="U13" s="7">
        <v>39.11</v>
      </c>
      <c r="V13" s="7">
        <v>25.24</v>
      </c>
      <c r="W13" s="7">
        <v>17.65</v>
      </c>
      <c r="X13" s="14">
        <f>AVERAGE(P13:W13)</f>
      </c>
      <c r="Y13" s="7"/>
      <c r="Z13" s="7"/>
      <c r="AA13" s="9"/>
      <c r="AB13" s="9"/>
    </row>
    <row customHeight="true" ht="15" r="14">
      <c r="A14" s="9"/>
      <c r="B14" s="7"/>
      <c r="C14" s="7" t="str">
        <v>640.5s</v>
      </c>
      <c r="D14" s="7" t="str">
        <v>761.3s</v>
      </c>
      <c r="E14" s="7" t="str">
        <v>529.9s</v>
      </c>
      <c r="F14" s="7" t="str">
        <v>760.5s</v>
      </c>
      <c r="G14" s="7" t="str">
        <v>508.2s</v>
      </c>
      <c r="H14" s="7" t="str">
        <v>759.1s</v>
      </c>
      <c r="I14" s="7" t="str">
        <v>403.9s</v>
      </c>
      <c r="J14" s="12"/>
      <c r="K14" s="7" t="str">
        <v>661.8s</v>
      </c>
      <c r="L14" s="7" t="str">
        <v>739.6s</v>
      </c>
      <c r="M14" s="7" t="str">
        <v>417.7s</v>
      </c>
      <c r="N14" s="7" t="str">
        <v>742.0s</v>
      </c>
      <c r="O14" s="12"/>
      <c r="P14" s="7" t="str">
        <v>253.5s</v>
      </c>
      <c r="Q14" s="7" t="str">
        <v>740.0s</v>
      </c>
      <c r="R14" s="7" t="str">
        <v>721.4s</v>
      </c>
      <c r="S14" s="7" t="str">
        <v>438.8s</v>
      </c>
      <c r="T14" s="7" t="str">
        <v>717.0s</v>
      </c>
      <c r="U14" s="7" t="str">
        <v>225.4s</v>
      </c>
      <c r="V14" s="7" t="str">
        <v>711.6s</v>
      </c>
      <c r="W14" s="7" t="str">
        <v>714.3s</v>
      </c>
      <c r="X14" s="12"/>
      <c r="Y14" s="7"/>
      <c r="Z14" s="7"/>
      <c r="AA14" s="9"/>
      <c r="AB14" s="9"/>
    </row>
    <row customHeight="true" ht="15" r="15">
      <c r="A15" s="9"/>
      <c r="B15" s="7"/>
      <c r="C15" s="7"/>
      <c r="D15" s="7"/>
      <c r="E15" s="7"/>
      <c r="F15" s="7"/>
      <c r="G15" s="7"/>
      <c r="H15" s="7"/>
      <c r="I15" s="7"/>
      <c r="J15" s="12"/>
      <c r="K15" s="7"/>
      <c r="L15" s="7"/>
      <c r="M15" s="7"/>
      <c r="N15" s="7"/>
      <c r="O15" s="12"/>
      <c r="P15" s="7"/>
      <c r="Q15" s="7"/>
      <c r="R15" s="7"/>
      <c r="S15" s="7"/>
      <c r="T15" s="7"/>
      <c r="U15" s="7"/>
      <c r="V15" s="7"/>
      <c r="W15" s="7"/>
      <c r="X15" s="12"/>
      <c r="Y15" s="7"/>
      <c r="Z15" s="7"/>
      <c r="AA15" s="9"/>
      <c r="AB15" s="9"/>
    </row>
    <row customHeight="true" ht="15" r="16">
      <c r="A16" s="9"/>
      <c r="B16" s="7" t="str">
        <v>3 bit</v>
      </c>
      <c r="C16" s="12">
        <v>4.19</v>
      </c>
      <c r="D16" s="12">
        <v>18.95</v>
      </c>
      <c r="E16" s="12">
        <v>15.43</v>
      </c>
      <c r="F16" s="12">
        <v>21.13</v>
      </c>
      <c r="G16" s="12">
        <v>22.9</v>
      </c>
      <c r="H16" s="12">
        <v>31.97</v>
      </c>
      <c r="I16" s="12">
        <v>4.34</v>
      </c>
      <c r="J16" s="14">
        <f>AVERAGE(C16:I16)</f>
      </c>
      <c r="K16" s="12">
        <v>48.21</v>
      </c>
      <c r="L16" s="12">
        <v>35.96</v>
      </c>
      <c r="M16" s="12">
        <v>30.62</v>
      </c>
      <c r="N16" s="12">
        <v>73.58</v>
      </c>
      <c r="O16" s="14">
        <f>AVERAGE(K16:N16)</f>
      </c>
      <c r="P16" s="12">
        <v>15.53</v>
      </c>
      <c r="Q16" s="12">
        <v>27.19</v>
      </c>
      <c r="R16" s="12">
        <v>23.34</v>
      </c>
      <c r="S16" s="12">
        <v>34.32</v>
      </c>
      <c r="T16" s="12">
        <v>7.49</v>
      </c>
      <c r="U16" s="12">
        <v>6.33</v>
      </c>
      <c r="V16" s="12">
        <v>7.1</v>
      </c>
      <c r="W16" s="12">
        <v>11.75</v>
      </c>
      <c r="X16" s="14">
        <f>AVERAGE(P16:W16)</f>
      </c>
      <c r="Y16" s="7"/>
      <c r="Z16" s="7"/>
      <c r="AA16" s="9"/>
      <c r="AB16" s="9"/>
    </row>
    <row customHeight="true" ht="15" r="17">
      <c r="B17" s="7"/>
      <c r="C17" s="8" t="str">
        <v>581.1s</v>
      </c>
      <c r="D17" s="8" t="str">
        <v>723.0s</v>
      </c>
      <c r="E17" s="8" t="str">
        <v>691.7s</v>
      </c>
      <c r="F17" s="8" t="str">
        <v>608.4s</v>
      </c>
      <c r="G17" s="8" t="str">
        <v>760.3s</v>
      </c>
      <c r="H17" s="8" t="str">
        <v>573.7s</v>
      </c>
      <c r="I17" s="8" t="str">
        <v>760.0s</v>
      </c>
      <c r="J17" s="10"/>
      <c r="K17" s="8" t="str">
        <v>170.8s</v>
      </c>
      <c r="L17" s="8" t="str">
        <v>179.5s</v>
      </c>
      <c r="M17" s="8" t="str">
        <v>169.0s</v>
      </c>
      <c r="N17" s="8" t="str">
        <v>180.4s</v>
      </c>
      <c r="O17" s="10"/>
      <c r="P17" s="8" t="str">
        <v>186.0s</v>
      </c>
      <c r="Q17" s="8" t="str">
        <v>191.9s</v>
      </c>
      <c r="R17" s="8" t="str">
        <v>200.8s</v>
      </c>
      <c r="S17" s="8" t="str">
        <v>206.6s</v>
      </c>
      <c r="T17" s="8" t="str">
        <v>266.1s</v>
      </c>
      <c r="U17" s="8" t="str">
        <v>266.5s</v>
      </c>
      <c r="V17" s="8" t="str">
        <v>212.6s</v>
      </c>
      <c r="W17" s="8" t="str">
        <v>166.3s</v>
      </c>
      <c r="X17" s="10"/>
      <c r="Y17" s="8"/>
      <c r="Z17" s="8"/>
      <c r="AB17" s="9"/>
    </row>
    <row customHeight="true" ht="15" r="18">
      <c r="B18" s="8"/>
      <c r="C18" s="8"/>
      <c r="D18" s="8"/>
      <c r="E18" s="8"/>
      <c r="F18" s="8"/>
      <c r="G18" s="8"/>
      <c r="H18" s="8"/>
      <c r="I18" s="8"/>
      <c r="J18" s="10"/>
      <c r="K18" s="8"/>
      <c r="L18" s="8"/>
      <c r="M18" s="8"/>
      <c r="N18" s="8"/>
      <c r="O18" s="10"/>
      <c r="P18" s="8"/>
      <c r="Q18" s="8"/>
      <c r="R18" s="8"/>
      <c r="S18" s="8"/>
      <c r="T18" s="8"/>
      <c r="U18" s="8"/>
      <c r="V18" s="8"/>
      <c r="W18" s="8"/>
      <c r="X18" s="10"/>
      <c r="Y18" s="8"/>
      <c r="Z18" s="8"/>
      <c r="AB18" s="9"/>
    </row>
    <row customHeight="true" ht="15" r="19">
      <c r="B19" s="8"/>
      <c r="C19" s="8"/>
      <c r="D19" s="8"/>
      <c r="E19" s="8"/>
      <c r="F19" s="8"/>
      <c r="G19" s="8"/>
      <c r="H19" s="8"/>
      <c r="I19" s="8"/>
      <c r="J19" s="10"/>
      <c r="K19" s="8"/>
      <c r="L19" s="8"/>
      <c r="M19" s="8"/>
      <c r="N19" s="8"/>
      <c r="O19" s="10"/>
      <c r="P19" s="8"/>
      <c r="Q19" s="8"/>
      <c r="R19" s="8"/>
      <c r="S19" s="8"/>
      <c r="T19" s="8"/>
      <c r="U19" s="8"/>
      <c r="V19" s="8"/>
      <c r="W19" s="8"/>
      <c r="X19" s="10"/>
      <c r="Y19" s="8"/>
      <c r="Z19" s="8"/>
      <c r="AB19" s="9"/>
    </row>
    <row customHeight="true" ht="15" r="20">
      <c r="A20" s="15" t="str">
        <v>PTQ4VIT</v>
      </c>
      <c r="B20" s="8" t="str">
        <v>4 bit</v>
      </c>
      <c r="C20" s="10">
        <v>61.14</v>
      </c>
      <c r="D20" s="10">
        <v>89.79</v>
      </c>
      <c r="E20" s="10">
        <v>63.83</v>
      </c>
      <c r="F20" s="17">
        <v>97.82</v>
      </c>
      <c r="G20" s="17">
        <v>86.95</v>
      </c>
      <c r="H20" s="10">
        <v>79.94</v>
      </c>
      <c r="I20" s="10">
        <v>49.97</v>
      </c>
      <c r="J20" s="10"/>
      <c r="K20" s="10">
        <v>85.41</v>
      </c>
      <c r="L20" s="10">
        <v>85.94</v>
      </c>
      <c r="M20" s="10">
        <v>78.62</v>
      </c>
      <c r="N20" s="10">
        <v>73.64</v>
      </c>
      <c r="O20" s="10"/>
      <c r="P20" s="10">
        <v>26.85</v>
      </c>
      <c r="Q20" s="10">
        <v>49.29</v>
      </c>
      <c r="R20" s="10">
        <v>44.12</v>
      </c>
      <c r="S20" s="10">
        <v>76.65</v>
      </c>
      <c r="T20" s="10">
        <v>68.53</v>
      </c>
      <c r="U20" s="10">
        <v>37.64</v>
      </c>
      <c r="V20" s="10">
        <v>23.46</v>
      </c>
      <c r="W20" s="10">
        <v>23.1</v>
      </c>
      <c r="X20" s="10"/>
      <c r="Y20" s="8"/>
      <c r="Z20" s="8"/>
      <c r="AB20" s="9"/>
    </row>
    <row customHeight="true" ht="15" r="21">
      <c r="B21" s="8"/>
      <c r="C21" s="8" t="str">
        <v>684.4s</v>
      </c>
      <c r="D21" s="8" t="str">
        <v>678.9s</v>
      </c>
      <c r="E21" s="8" t="str">
        <v>716.3s</v>
      </c>
      <c r="F21" s="8" t="str">
        <v>723.8s</v>
      </c>
      <c r="G21" s="8" t="str">
        <v>713.5s</v>
      </c>
      <c r="H21" s="8" t="str">
        <v>691.6s</v>
      </c>
      <c r="I21" s="8" t="str">
        <v>699.1s</v>
      </c>
      <c r="J21" s="10"/>
      <c r="K21" s="8" t="str">
        <v>742.2s</v>
      </c>
      <c r="L21" s="8" t="str">
        <v>751.3s</v>
      </c>
      <c r="M21" s="8" t="str">
        <v>764.1s</v>
      </c>
      <c r="N21" s="8" t="str">
        <v>782.6s</v>
      </c>
      <c r="O21" s="10"/>
      <c r="P21" s="8" t="str">
        <v>754.5s</v>
      </c>
      <c r="Q21" s="8" t="str">
        <v>772.1s</v>
      </c>
      <c r="R21" s="8" t="str">
        <v>748.9s</v>
      </c>
      <c r="S21" s="8" t="str">
        <v>778.1s</v>
      </c>
      <c r="T21" s="8" t="str">
        <v>730.2s</v>
      </c>
      <c r="U21" s="8" t="str">
        <v>732.4s</v>
      </c>
      <c r="V21" s="8" t="str">
        <v>719.9s</v>
      </c>
      <c r="W21" s="8" t="str">
        <v>713.0s</v>
      </c>
      <c r="X21" s="10"/>
      <c r="Y21" s="8"/>
      <c r="Z21" s="8"/>
      <c r="AB21" s="9"/>
    </row>
    <row customHeight="true" ht="15" r="22">
      <c r="A22" s="15"/>
      <c r="C22" s="8"/>
      <c r="D22" s="8"/>
      <c r="E22" s="8"/>
      <c r="F22" s="8"/>
      <c r="G22" s="8"/>
      <c r="H22" s="8"/>
      <c r="I22" s="8"/>
      <c r="J22" s="10"/>
      <c r="K22" s="8"/>
      <c r="L22" s="8"/>
      <c r="M22" s="8"/>
      <c r="N22" s="8"/>
      <c r="O22" s="10"/>
      <c r="P22" s="8"/>
      <c r="Q22" s="8"/>
      <c r="R22" s="8"/>
      <c r="S22" s="8"/>
      <c r="T22" s="8"/>
      <c r="U22" s="8"/>
      <c r="V22" s="8"/>
      <c r="W22" s="8"/>
      <c r="X22" s="10"/>
      <c r="Y22" s="8"/>
      <c r="Z22" s="8"/>
      <c r="AB22" s="9"/>
    </row>
    <row customHeight="true" ht="15" r="23">
      <c r="B23" s="8" t="str">
        <v>3 bit</v>
      </c>
      <c r="C23" s="10">
        <v>35.06</v>
      </c>
      <c r="D23" s="10">
        <v>68.16</v>
      </c>
      <c r="E23" s="10">
        <v>49.84</v>
      </c>
      <c r="F23" s="10">
        <v>91.15</v>
      </c>
      <c r="G23" s="10">
        <v>71.79</v>
      </c>
      <c r="H23" s="10">
        <v>71.97</v>
      </c>
      <c r="I23" s="10">
        <v>35.83</v>
      </c>
      <c r="J23" s="10"/>
      <c r="K23" s="10">
        <v>81.94</v>
      </c>
      <c r="L23" s="10">
        <v>68.48</v>
      </c>
      <c r="M23" s="10">
        <v>59.44</v>
      </c>
      <c r="N23" s="10">
        <v>73.6</v>
      </c>
      <c r="O23" s="10"/>
      <c r="P23" s="10">
        <v>32.43</v>
      </c>
      <c r="Q23" s="10">
        <v>29.56</v>
      </c>
      <c r="R23" s="10">
        <v>35.85</v>
      </c>
      <c r="S23" s="10">
        <v>55.42</v>
      </c>
      <c r="T23" s="10">
        <v>49.19</v>
      </c>
      <c r="U23" s="10">
        <v>22.84</v>
      </c>
      <c r="V23" s="10">
        <v>14.45</v>
      </c>
      <c r="W23" s="10">
        <v>20.87</v>
      </c>
      <c r="X23" s="10"/>
      <c r="Y23" s="8"/>
      <c r="Z23" s="8"/>
      <c r="AB23" s="9"/>
    </row>
    <row customHeight="true" ht="15" r="24">
      <c r="B24" s="8"/>
      <c r="C24" s="8" t="str">
        <v>513.4s</v>
      </c>
      <c r="D24" s="8" t="str">
        <v>514.9s</v>
      </c>
      <c r="E24" s="8" t="str">
        <v>522.7s</v>
      </c>
      <c r="F24" s="8" t="str">
        <v>528.9s</v>
      </c>
      <c r="G24" s="8" t="str">
        <v>519.2s</v>
      </c>
      <c r="H24" s="8" t="str">
        <v>511.0s</v>
      </c>
      <c r="I24" s="8" t="str">
        <v>515.4s</v>
      </c>
      <c r="J24" s="10"/>
      <c r="K24" s="8" t="str">
        <v>512.2s</v>
      </c>
      <c r="L24" s="8" t="str">
        <v>512.6s</v>
      </c>
      <c r="M24" s="8" t="str">
        <v>519.0s</v>
      </c>
      <c r="N24" s="8" t="str">
        <v>526.1s</v>
      </c>
      <c r="O24" s="10"/>
      <c r="P24" s="8" t="str">
        <v>513.9s</v>
      </c>
      <c r="Q24" s="8" t="str">
        <v>512.4s</v>
      </c>
      <c r="R24" s="8" t="str">
        <v>516.0s</v>
      </c>
      <c r="S24" s="8" t="str">
        <v>533.3s</v>
      </c>
      <c r="T24" s="8" t="str">
        <v>512.8s</v>
      </c>
      <c r="U24" s="8" t="str">
        <v>513.5s</v>
      </c>
      <c r="V24" s="8" t="str">
        <v>510.8s</v>
      </c>
      <c r="W24" s="8" t="str">
        <v>509.9s</v>
      </c>
      <c r="X24" s="10"/>
      <c r="Y24" s="8"/>
      <c r="Z24" s="8"/>
      <c r="AB24" s="9"/>
    </row>
    <row customHeight="true" ht="15" r="25">
      <c r="B25" s="8"/>
      <c r="C25" s="8"/>
      <c r="D25" s="8"/>
      <c r="E25" s="8"/>
      <c r="F25" s="8"/>
      <c r="G25" s="8"/>
      <c r="H25" s="8"/>
      <c r="I25" s="8"/>
      <c r="J25" s="10"/>
      <c r="K25" s="8"/>
      <c r="L25" s="8"/>
      <c r="M25" s="8"/>
      <c r="N25" s="8"/>
      <c r="O25" s="10"/>
      <c r="P25" s="8"/>
      <c r="Q25" s="8"/>
      <c r="R25" s="8"/>
      <c r="S25" s="8"/>
      <c r="T25" s="8"/>
      <c r="U25" s="8"/>
      <c r="V25" s="8"/>
      <c r="W25" s="8"/>
      <c r="X25" s="10"/>
      <c r="Y25" s="8"/>
      <c r="Z25" s="8"/>
      <c r="AB25" s="9"/>
    </row>
    <row customHeight="true" ht="15" r="26">
      <c r="B26" s="8" t="str">
        <v>2 bit</v>
      </c>
      <c r="C26" s="10">
        <v>1.6</v>
      </c>
      <c r="D26" s="10">
        <v>5.08</v>
      </c>
      <c r="E26" s="10">
        <v>3.88</v>
      </c>
      <c r="F26" s="10">
        <v>1.17</v>
      </c>
      <c r="G26" s="10">
        <v>2.64</v>
      </c>
      <c r="H26" s="10">
        <v>13.03</v>
      </c>
      <c r="I26" s="10">
        <v>0.37</v>
      </c>
      <c r="J26" s="10"/>
      <c r="K26" s="10">
        <v>49.69</v>
      </c>
      <c r="L26" s="10">
        <v>13.82</v>
      </c>
      <c r="M26" s="10">
        <v>4.27</v>
      </c>
      <c r="N26" s="10">
        <v>54.56</v>
      </c>
      <c r="O26" s="10"/>
      <c r="P26" s="10">
        <v>12.18</v>
      </c>
      <c r="Q26" s="10">
        <v>14.28</v>
      </c>
      <c r="R26" s="10">
        <v>14.74</v>
      </c>
      <c r="S26" s="10">
        <v>22.93</v>
      </c>
      <c r="T26" s="10">
        <v>6.49</v>
      </c>
      <c r="U26" s="10">
        <v>6.42</v>
      </c>
      <c r="V26" s="10">
        <v>5.47</v>
      </c>
      <c r="W26" s="10">
        <v>11.03</v>
      </c>
      <c r="X26" s="10"/>
      <c r="Y26" s="8"/>
      <c r="Z26" s="8"/>
      <c r="AB26" s="9"/>
    </row>
    <row customHeight="true" ht="15" r="27">
      <c r="B27" s="8"/>
      <c r="C27" s="8" t="str">
        <v>1241.8s</v>
      </c>
      <c r="D27" s="8" t="str">
        <v>1283.4s</v>
      </c>
      <c r="E27" s="8" t="str">
        <v>1296.1s</v>
      </c>
      <c r="F27" s="8" t="str">
        <v>1345.6s</v>
      </c>
      <c r="G27" s="8" t="str">
        <v>1276.6s</v>
      </c>
      <c r="H27" s="8" t="str">
        <v>1251.1s</v>
      </c>
      <c r="I27" s="8" t="str">
        <v>1231.6s</v>
      </c>
      <c r="J27" s="10"/>
      <c r="K27" s="8" t="str">
        <v>1320.9s</v>
      </c>
      <c r="L27" s="8" t="str">
        <v>1336.8s</v>
      </c>
      <c r="M27" s="8" t="str">
        <v>1312.0s</v>
      </c>
      <c r="N27" s="8" t="str">
        <v>1402.2s</v>
      </c>
      <c r="O27" s="10"/>
      <c r="P27" s="8" t="str">
        <v>1343.8s</v>
      </c>
      <c r="Q27" s="8" t="str">
        <v>1370.3s</v>
      </c>
      <c r="R27" s="8" t="str">
        <v>1304.4s</v>
      </c>
      <c r="S27" s="8" t="str">
        <v>1355.3s</v>
      </c>
      <c r="T27" s="8" t="str">
        <v>1254.4s</v>
      </c>
      <c r="U27" s="8" t="str">
        <v>1245.1s</v>
      </c>
      <c r="V27" s="8" t="str">
        <v>1259.7s</v>
      </c>
      <c r="W27" s="8" t="str">
        <v>1304.9s</v>
      </c>
      <c r="X27" s="10"/>
      <c r="Y27" s="8"/>
      <c r="Z27" s="8"/>
      <c r="AB27" s="9"/>
    </row>
    <row customHeight="true" ht="15" r="28">
      <c r="B28" s="8"/>
      <c r="C28" s="8"/>
      <c r="D28" s="8"/>
      <c r="E28" s="8"/>
      <c r="F28" s="8"/>
      <c r="G28" s="8"/>
      <c r="H28" s="8"/>
      <c r="I28" s="8"/>
      <c r="J28" s="10"/>
      <c r="K28" s="8"/>
      <c r="L28" s="8"/>
      <c r="M28" s="8"/>
      <c r="N28" s="8"/>
      <c r="O28" s="10"/>
      <c r="P28" s="8"/>
      <c r="Q28" s="8"/>
      <c r="R28" s="8"/>
      <c r="S28" s="8"/>
      <c r="T28" s="8"/>
      <c r="U28" s="8"/>
      <c r="V28" s="8"/>
      <c r="W28" s="8"/>
      <c r="X28" s="10"/>
      <c r="Y28" s="8"/>
      <c r="Z28" s="8"/>
      <c r="AB28" s="9"/>
    </row>
    <row customHeight="true" ht="15" r="29">
      <c r="A29" s="8" t="str">
        <v>Qdrop</v>
      </c>
      <c r="B29" s="8" t="str">
        <v>3bit</v>
      </c>
      <c r="C29" s="8">
        <v>41.72</v>
      </c>
      <c r="D29" s="8">
        <v>78.6</v>
      </c>
      <c r="E29" s="8">
        <v>58.78</v>
      </c>
      <c r="F29" s="8">
        <v>93.43</v>
      </c>
      <c r="G29" s="8">
        <v>76.04</v>
      </c>
      <c r="H29" s="8">
        <v>80.75</v>
      </c>
      <c r="I29" s="8">
        <v>34.88</v>
      </c>
      <c r="J29" s="10"/>
      <c r="K29" s="8">
        <v>82.92</v>
      </c>
      <c r="L29" s="8">
        <v>91.3</v>
      </c>
      <c r="M29" s="8">
        <v>76.87</v>
      </c>
      <c r="N29" s="8">
        <v>73.82</v>
      </c>
      <c r="O29" s="10"/>
      <c r="P29" s="8">
        <v>56.19</v>
      </c>
      <c r="Q29" s="8">
        <v>58.03</v>
      </c>
      <c r="R29" s="8">
        <v>42.94</v>
      </c>
      <c r="S29" s="8">
        <v>73.42</v>
      </c>
      <c r="T29" s="8">
        <v>71.1</v>
      </c>
      <c r="U29" s="8">
        <v>31.52</v>
      </c>
      <c r="V29" s="8">
        <v>19.82</v>
      </c>
      <c r="W29" s="8">
        <v>30.63</v>
      </c>
      <c r="X29" s="10"/>
      <c r="Y29" s="8"/>
      <c r="Z29" s="8"/>
      <c r="AA29" s="8"/>
      <c r="AB29" s="7"/>
    </row>
    <row customHeight="true" ht="15" r="30">
      <c r="A30" s="8"/>
      <c r="B30" s="8"/>
      <c r="C30" s="8" t="str">
        <v>569.8s</v>
      </c>
      <c r="D30" s="8" t="str">
        <v>568.7s</v>
      </c>
      <c r="E30" s="8" t="str">
        <v>569.0s</v>
      </c>
      <c r="F30" s="8" t="str">
        <v>567.6s</v>
      </c>
      <c r="G30" s="8" t="str">
        <v>567.9s</v>
      </c>
      <c r="H30" s="8" t="str">
        <v>568.8s</v>
      </c>
      <c r="I30" s="8" t="str">
        <v>570.5s</v>
      </c>
      <c r="J30" s="10"/>
      <c r="K30" s="8" t="str">
        <v>569.8s</v>
      </c>
      <c r="L30" s="8" t="str">
        <v>572.3s</v>
      </c>
      <c r="M30" s="8" t="str">
        <v>570.8s</v>
      </c>
      <c r="N30" s="8" t="str">
        <v>568.7s</v>
      </c>
      <c r="O30" s="10"/>
      <c r="P30" s="8" t="str">
        <v>568.1s</v>
      </c>
      <c r="Q30" s="8" t="str">
        <v>568.7s</v>
      </c>
      <c r="R30" s="8" t="str">
        <v>570.7s</v>
      </c>
      <c r="S30" s="8" t="str">
        <v>571.9s</v>
      </c>
      <c r="T30" s="8" t="str">
        <v>571.0s</v>
      </c>
      <c r="U30" s="8" t="str">
        <v>578.5s</v>
      </c>
      <c r="V30" s="8" t="str">
        <v>568.8s</v>
      </c>
      <c r="W30" s="8" t="str">
        <v>568.9s</v>
      </c>
      <c r="X30" s="10"/>
      <c r="Y30" s="8"/>
      <c r="Z30" s="8"/>
      <c r="AA30" s="8"/>
      <c r="AB30" s="7"/>
    </row>
    <row customHeight="true" ht="15" r="31">
      <c r="A31" s="8"/>
      <c r="B31" s="8"/>
      <c r="C31" s="8"/>
      <c r="D31" s="8"/>
      <c r="E31" s="8"/>
      <c r="F31" s="8"/>
      <c r="G31" s="8"/>
      <c r="H31" s="8"/>
      <c r="I31" s="8"/>
      <c r="J31" s="10"/>
      <c r="K31" s="8"/>
      <c r="L31" s="8"/>
      <c r="M31" s="8"/>
      <c r="N31" s="8"/>
      <c r="O31" s="10"/>
      <c r="P31" s="8"/>
      <c r="Q31" s="8"/>
      <c r="R31" s="8"/>
      <c r="S31" s="8"/>
      <c r="T31" s="8"/>
      <c r="U31" s="8"/>
      <c r="V31" s="8"/>
      <c r="W31" s="8"/>
      <c r="X31" s="10"/>
      <c r="Y31" s="8"/>
      <c r="Z31" s="8"/>
      <c r="AA31" s="8"/>
      <c r="AB31" s="7"/>
    </row>
    <row customHeight="true" ht="15" r="32">
      <c r="A32" s="8"/>
      <c r="B32" s="8" t="str">
        <v>4bit</v>
      </c>
      <c r="C32" s="10">
        <v>54.51</v>
      </c>
      <c r="D32" s="10">
        <v>90.06</v>
      </c>
      <c r="E32" s="10">
        <v>63.56</v>
      </c>
      <c r="F32" s="10">
        <v>97.63</v>
      </c>
      <c r="G32" s="10">
        <v>84.87</v>
      </c>
      <c r="H32" s="10">
        <v>83.5</v>
      </c>
      <c r="I32" s="10">
        <v>44.37</v>
      </c>
      <c r="J32" s="10"/>
      <c r="K32" s="10">
        <v>85.4</v>
      </c>
      <c r="L32" s="10">
        <v>92.89</v>
      </c>
      <c r="M32" s="10">
        <v>80.83</v>
      </c>
      <c r="N32" s="10">
        <v>74.7</v>
      </c>
      <c r="O32" s="10"/>
      <c r="P32" s="10">
        <v>66.77</v>
      </c>
      <c r="Q32" s="10">
        <v>60.21</v>
      </c>
      <c r="R32" s="10">
        <v>45.68</v>
      </c>
      <c r="S32" s="10">
        <v>76.51</v>
      </c>
      <c r="T32" s="10">
        <v>77.72</v>
      </c>
      <c r="U32" s="10">
        <v>42.97</v>
      </c>
      <c r="V32" s="10">
        <v>22.83</v>
      </c>
      <c r="W32" s="8">
        <v>35.02</v>
      </c>
      <c r="X32" s="10"/>
      <c r="Y32" s="8"/>
      <c r="Z32" s="8"/>
      <c r="AA32" s="8"/>
      <c r="AB32" s="7"/>
    </row>
    <row customHeight="true" ht="15" r="33">
      <c r="A33" s="8"/>
      <c r="B33" s="8"/>
      <c r="C33" s="8" t="str">
        <v>996.1s</v>
      </c>
      <c r="D33" s="8" t="str">
        <v>1010.4s</v>
      </c>
      <c r="E33" s="8" t="str">
        <v>1018.5s</v>
      </c>
      <c r="F33" s="8" t="str">
        <v>1024.1s</v>
      </c>
      <c r="G33" s="8" t="str">
        <v>1022.2s</v>
      </c>
      <c r="H33" s="8" t="str">
        <v>1012.6s</v>
      </c>
      <c r="I33" s="8" t="str">
        <v>1020.9s</v>
      </c>
      <c r="J33" s="10"/>
      <c r="K33" s="8" t="str">
        <v>996.5s</v>
      </c>
      <c r="L33" s="8" t="str">
        <v>996.7s</v>
      </c>
      <c r="M33" s="8" t="str">
        <v>1037.7s</v>
      </c>
      <c r="N33" s="8" t="str">
        <v>1020.4s</v>
      </c>
      <c r="O33" s="8"/>
      <c r="P33" s="8" t="str">
        <v>1034.4s</v>
      </c>
      <c r="Q33" s="8">
        <v>1022.36</v>
      </c>
      <c r="R33" s="8" t="str">
        <v>997.0s</v>
      </c>
      <c r="S33" s="8" t="str">
        <v>994.4s</v>
      </c>
      <c r="T33" s="8" t="str">
        <v>1028.6s</v>
      </c>
      <c r="U33" s="8" t="str">
        <v>1013.9s</v>
      </c>
      <c r="V33" s="8" t="str">
        <v>1004.7s</v>
      </c>
      <c r="W33" s="8" t="str">
        <v>1012.0s</v>
      </c>
      <c r="X33" s="10"/>
      <c r="Y33" s="8"/>
      <c r="Z33" s="8"/>
      <c r="AA33" s="8"/>
      <c r="AB33" s="7"/>
    </row>
    <row customHeight="true" ht="15"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7"/>
    </row>
    <row customHeight="true" ht="15"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7"/>
    </row>
    <row customHeight="true" ht="15"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7"/>
    </row>
    <row customHeight="true" ht="15"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7"/>
    </row>
    <row customHeight="true" ht="15"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7"/>
    </row>
    <row customHeight="true" ht="15"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7"/>
    </row>
    <row customHeight="true" ht="15"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7"/>
    </row>
    <row customHeight="true" ht="15"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7"/>
    </row>
    <row customHeight="true" ht="15"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7"/>
    </row>
    <row customHeight="true" ht="15"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7"/>
    </row>
    <row customHeight="true" ht="15"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7"/>
    </row>
    <row customHeight="true" ht="15"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7"/>
    </row>
    <row customHeight="true" ht="15"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7"/>
    </row>
    <row customHeight="true" ht="15"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7"/>
    </row>
    <row customHeight="true" ht="15"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7"/>
    </row>
    <row customHeight="true" ht="15"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7"/>
    </row>
    <row customHeight="true" ht="15"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7"/>
    </row>
  </sheetData>
  <mergeCells>
    <mergeCell ref="B32:B33"/>
    <mergeCell ref="A36:A37"/>
    <mergeCell ref="B36:B37"/>
    <mergeCell ref="B29:B30"/>
    <mergeCell ref="A29:A30"/>
    <mergeCell ref="B26:B27"/>
    <mergeCell ref="A22:B22"/>
    <mergeCell ref="B23:B24"/>
    <mergeCell ref="B20:B21"/>
    <mergeCell ref="A20:A21"/>
    <mergeCell ref="R15:W15"/>
    <mergeCell ref="B16:B17"/>
    <mergeCell ref="B10:B11"/>
    <mergeCell ref="A13:A14"/>
    <mergeCell ref="B13:B14"/>
    <mergeCell ref="B7:B8"/>
    <mergeCell ref="B4:B5"/>
    <mergeCell ref="A4:A5"/>
    <mergeCell ref="P1:X1"/>
    <mergeCell ref="K1:O1"/>
    <mergeCell ref="C1:J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  <col collapsed="false" customWidth="true" hidden="false" max="21" min="21" style="0" width="10"/>
    <col collapsed="false" customWidth="true" hidden="false" max="22" min="22" style="0" width="10"/>
    <col collapsed="false" customWidth="true" hidden="false" max="23" min="23" style="0" width="10"/>
    <col collapsed="false" customWidth="true" hidden="false" max="24" min="24" style="0" width="10"/>
    <col collapsed="false" customWidth="true" hidden="false" max="25" min="25" style="0" width="10"/>
    <col collapsed="false" customWidth="true" hidden="false" max="26" min="26" style="0" width="9"/>
    <col collapsed="false" customWidth="true" hidden="false" max="27" min="27" style="0" width="15"/>
    <col collapsed="false" customWidth="true" hidden="false" max="28" min="28" style="0" width="10"/>
  </cols>
  <sheetData>
    <row customHeight="true" ht="15" r="1">
      <c r="A1" s="3" t="str">
        <v>Methods</v>
      </c>
      <c r="B1" s="3" t="str">
        <v>W/A</v>
      </c>
      <c r="C1" s="1" t="str">
        <v>Natural</v>
      </c>
      <c r="D1" s="1"/>
      <c r="E1" s="1"/>
      <c r="F1" s="1"/>
      <c r="G1" s="1"/>
      <c r="H1" s="1"/>
      <c r="I1" s="1"/>
      <c r="J1" s="1"/>
      <c r="K1" s="1" t="str">
        <v>Specialized</v>
      </c>
      <c r="L1" s="1"/>
      <c r="M1" s="1"/>
      <c r="N1" s="1"/>
      <c r="O1" s="1"/>
      <c r="P1" s="1" t="str">
        <v>Structured</v>
      </c>
      <c r="Q1" s="1"/>
      <c r="R1" s="1"/>
      <c r="S1" s="1"/>
      <c r="T1" s="1"/>
      <c r="U1" s="1"/>
      <c r="V1" s="1"/>
      <c r="W1" s="1"/>
      <c r="X1" s="1"/>
      <c r="Y1" s="2"/>
      <c r="Z1" s="2"/>
      <c r="AA1" s="1" t="str">
        <v>comments</v>
      </c>
      <c r="AB1" s="4" t="str">
        <v>server</v>
      </c>
    </row>
    <row customHeight="true" ht="30" r="2">
      <c r="A2" s="11"/>
      <c r="B2" s="11"/>
      <c r="C2" s="4" t="str">
        <v>Cifar100</v>
      </c>
      <c r="D2" s="4" t="str">
        <v>Caltech101</v>
      </c>
      <c r="E2" s="4" t="str">
        <v>DTD</v>
      </c>
      <c r="F2" s="4" t="str">
        <v>Flowers102</v>
      </c>
      <c r="G2" s="4" t="str">
        <v>Pets</v>
      </c>
      <c r="H2" s="4" t="str">
        <v>SVHN</v>
      </c>
      <c r="I2" s="4" t="str">
        <v>Sun397</v>
      </c>
      <c r="J2" s="2" t="str">
        <v>Group Avg.</v>
      </c>
      <c r="K2" s="4" t="str">
        <v>Camelyon</v>
      </c>
      <c r="L2" s="4" t="str">
        <v>EuroSAT</v>
      </c>
      <c r="M2" s="4" t="str">
        <v>Resisc45</v>
      </c>
      <c r="N2" s="4" t="str">
        <v>Retinopathy</v>
      </c>
      <c r="O2" s="2" t="str">
        <v>Group Avg.</v>
      </c>
      <c r="P2" s="4" t="str">
        <v>Clevr-Count</v>
      </c>
      <c r="Q2" s="4" t="str">
        <v>Clevr-Dist</v>
      </c>
      <c r="R2" s="4" t="str">
        <v>DMLAB</v>
      </c>
      <c r="S2" s="4" t="str">
        <v>KITTI-Dist</v>
      </c>
      <c r="T2" s="4" t="str">
        <v>dSpr-Loc</v>
      </c>
      <c r="U2" s="4" t="str">
        <v>dSpr-Ori</v>
      </c>
      <c r="V2" s="4" t="str">
        <v>sNORB-Azim</v>
      </c>
      <c r="W2" s="4" t="str">
        <v>sNORB-Ele</v>
      </c>
      <c r="X2" s="2" t="str">
        <v>Group Avg.</v>
      </c>
      <c r="Y2" s="2" t="str">
        <v>Average</v>
      </c>
      <c r="Z2" s="2" t="str">
        <v>Tot. Avg</v>
      </c>
      <c r="AA2" s="4"/>
    </row>
    <row customHeight="true" ht="30" r="3">
      <c r="A3" s="11" t="str">
        <v>FP32 fine-tuned ViT</v>
      </c>
      <c r="B3" s="11" t="str">
        <v>32bit</v>
      </c>
      <c r="C3" s="4">
        <v>73.08</v>
      </c>
      <c r="D3" s="4">
        <v>93.26</v>
      </c>
      <c r="E3" s="4">
        <v>70.96</v>
      </c>
      <c r="F3" s="4">
        <v>99.14</v>
      </c>
      <c r="G3" s="4">
        <v>90.9</v>
      </c>
      <c r="H3" s="4">
        <v>86.46</v>
      </c>
      <c r="I3" s="4">
        <v>55.59</v>
      </c>
      <c r="J3" s="5">
        <f>AVERAGE(C3:I3)</f>
      </c>
      <c r="K3" s="4">
        <v>87.75</v>
      </c>
      <c r="L3" s="4">
        <v>95.54</v>
      </c>
      <c r="M3" s="4">
        <v>85.86</v>
      </c>
      <c r="N3" s="4">
        <v>75.41</v>
      </c>
      <c r="O3" s="5">
        <f>AVERAGE(K3:N3)</f>
      </c>
      <c r="P3" s="4">
        <v>79.59</v>
      </c>
      <c r="Q3" s="4">
        <v>63.2</v>
      </c>
      <c r="R3" s="4">
        <v>50.57</v>
      </c>
      <c r="S3" s="4">
        <v>80.03</v>
      </c>
      <c r="T3" s="4">
        <v>83.81</v>
      </c>
      <c r="U3" s="4">
        <v>51.65</v>
      </c>
      <c r="V3" s="4">
        <v>31.16</v>
      </c>
      <c r="W3" s="4">
        <v>42.41</v>
      </c>
      <c r="X3" s="5">
        <f>AVERAGE(P3:W3)</f>
      </c>
      <c r="Y3" s="5">
        <f>AVERAGE(J3,O3,X3)</f>
      </c>
      <c r="Z3" s="13">
        <f>AVERAGE(C3:I3,K3:N3,P3:W3)</f>
      </c>
      <c r="AA3" s="4"/>
      <c r="AB3" s="4">
        <v>190</v>
      </c>
    </row>
    <row customHeight="true" ht="15" r="4">
      <c r="A4" s="7" t="str">
        <v>Adalog</v>
      </c>
      <c r="B4" s="7" t="str">
        <v>4 bit</v>
      </c>
      <c r="C4" s="12">
        <v>68.48</v>
      </c>
      <c r="D4" s="12">
        <v>94.03</v>
      </c>
      <c r="E4" s="12">
        <v>71.6</v>
      </c>
      <c r="F4" s="12">
        <v>99.17</v>
      </c>
      <c r="G4" s="12">
        <v>0.9054</v>
      </c>
      <c r="H4" s="12">
        <v>88.11</v>
      </c>
      <c r="I4" s="12">
        <v>56.68</v>
      </c>
      <c r="J4" s="14">
        <f>AVERAGE(C4:I4)</f>
      </c>
      <c r="K4" s="12">
        <v>84</v>
      </c>
      <c r="L4" s="12">
        <v>95.15</v>
      </c>
      <c r="M4" s="12">
        <v>83.29</v>
      </c>
      <c r="N4" s="12">
        <v>75.36</v>
      </c>
      <c r="O4" s="14">
        <f>AVERAGE(K4:N4)</f>
      </c>
      <c r="P4" s="12">
        <v>58.28</v>
      </c>
      <c r="Q4" s="12">
        <v>56.65</v>
      </c>
      <c r="R4" s="12">
        <v>47.82</v>
      </c>
      <c r="S4" s="12">
        <v>78.76</v>
      </c>
      <c r="T4" s="12">
        <v>72.92</v>
      </c>
      <c r="U4" s="12">
        <v>48.59</v>
      </c>
      <c r="V4" s="12">
        <v>26.73</v>
      </c>
      <c r="W4" s="12">
        <v>30.55</v>
      </c>
      <c r="X4" s="7"/>
      <c r="Y4" s="7"/>
      <c r="Z4" s="7"/>
      <c r="AA4" s="7"/>
    </row>
    <row customHeight="true" ht="15" r="5">
      <c r="A5" s="7"/>
      <c r="B5" s="7"/>
      <c r="C5" s="7" t="str">
        <v>4281.2s</v>
      </c>
      <c r="D5" s="7" t="str">
        <v>3887.1s</v>
      </c>
      <c r="E5" s="7" t="str">
        <v>3800.6s</v>
      </c>
      <c r="F5" s="7" t="str">
        <v>3718.8s</v>
      </c>
      <c r="G5" s="7" t="str">
        <v>2779.2s</v>
      </c>
      <c r="H5" s="7" t="str">
        <v>2807.0s</v>
      </c>
      <c r="I5" s="7" t="str">
        <v>2800.4s</v>
      </c>
      <c r="J5" s="7"/>
      <c r="K5" s="7" t="str">
        <v>4440.0s</v>
      </c>
      <c r="L5" s="7" t="str">
        <v>4439.2s</v>
      </c>
      <c r="M5" s="7" t="str">
        <v>4447.5s</v>
      </c>
      <c r="N5" s="7" t="str">
        <v>4454.6s</v>
      </c>
      <c r="O5" s="7"/>
      <c r="P5" s="7" t="str">
        <v>4492.7s</v>
      </c>
      <c r="Q5" s="7" t="str">
        <v>4519.8s</v>
      </c>
      <c r="R5" s="7" t="str">
        <v>3684.2s</v>
      </c>
      <c r="S5" s="7" t="str">
        <v>3686.5s</v>
      </c>
      <c r="T5" s="7" t="str">
        <v>3672.9s</v>
      </c>
      <c r="U5" s="7" t="str">
        <v>3683.4s</v>
      </c>
      <c r="V5" s="7" t="str">
        <v>3631.5s</v>
      </c>
      <c r="W5" s="7">
        <v>3654.2</v>
      </c>
      <c r="X5" s="7"/>
      <c r="Y5" s="7"/>
      <c r="Z5" s="7"/>
      <c r="AA5" s="7"/>
    </row>
    <row customHeight="true" ht="15"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customHeight="true" ht="15" r="7">
      <c r="A7" s="7"/>
      <c r="B7" s="7" t="str">
        <v>3 bit</v>
      </c>
      <c r="C7" s="12">
        <v>56.78</v>
      </c>
      <c r="D7" s="12">
        <v>85.93</v>
      </c>
      <c r="E7" s="12">
        <v>39.95</v>
      </c>
      <c r="F7" s="12">
        <v>69.57</v>
      </c>
      <c r="G7" s="12">
        <v>73.83</v>
      </c>
      <c r="H7" s="12">
        <v>71.3</v>
      </c>
      <c r="I7" s="12">
        <v>45.48</v>
      </c>
      <c r="J7" s="14">
        <f>AVERAGE(C7:I7)</f>
      </c>
      <c r="K7" s="12">
        <v>75.68</v>
      </c>
      <c r="L7" s="12">
        <v>71.59</v>
      </c>
      <c r="M7" s="12">
        <v>46.98</v>
      </c>
      <c r="N7" s="12">
        <v>24.15</v>
      </c>
      <c r="O7" s="14">
        <f>AVERAGE(K7:N7)</f>
      </c>
      <c r="P7" s="12">
        <v>38.12</v>
      </c>
      <c r="Q7" s="12">
        <v>31.95</v>
      </c>
      <c r="R7" s="12">
        <v>32.86</v>
      </c>
      <c r="S7" s="12">
        <v>61.6</v>
      </c>
      <c r="T7" s="12">
        <v>34.88</v>
      </c>
      <c r="U7" s="12">
        <v>16.37</v>
      </c>
      <c r="V7" s="12">
        <v>15.86</v>
      </c>
      <c r="W7" s="12">
        <v>19.98</v>
      </c>
      <c r="X7" s="7"/>
      <c r="Y7" s="7"/>
      <c r="Z7" s="7"/>
      <c r="AA7" s="7"/>
    </row>
    <row customHeight="true" ht="15" r="8">
      <c r="A8" s="7"/>
      <c r="B8" s="7"/>
      <c r="C8" s="7" t="str">
        <v>3061.8s</v>
      </c>
      <c r="D8" s="7" t="str">
        <v>3054.9s</v>
      </c>
      <c r="E8" s="7" t="str">
        <v>3066.1s</v>
      </c>
      <c r="F8" s="7" t="str">
        <v>3081.3s</v>
      </c>
      <c r="G8" s="7" t="str">
        <v>3039.1s</v>
      </c>
      <c r="H8" s="7" t="str">
        <v>3080.1s</v>
      </c>
      <c r="I8" s="7" t="str">
        <v>3061.4s</v>
      </c>
      <c r="J8" s="7"/>
      <c r="K8" s="7" t="str">
        <v>2685.1s</v>
      </c>
      <c r="L8" s="7" t="str">
        <v>2652.7s</v>
      </c>
      <c r="M8" s="7" t="str">
        <v>2669.7s</v>
      </c>
      <c r="N8" s="7" t="str">
        <v>2673.7s</v>
      </c>
      <c r="O8" s="7"/>
      <c r="P8" s="7" t="str">
        <v>2681.2s</v>
      </c>
      <c r="Q8" s="7" t="str">
        <v>2666.4s</v>
      </c>
      <c r="R8" s="7" t="str">
        <v>3057.6s</v>
      </c>
      <c r="S8" s="7" t="str">
        <v>3053.2s</v>
      </c>
      <c r="T8" s="7" t="str">
        <v>3039.2s</v>
      </c>
      <c r="U8" s="7" t="str">
        <v>3019.1s</v>
      </c>
      <c r="V8" s="7" t="str">
        <v>3088.0s</v>
      </c>
      <c r="W8" s="7" t="str">
        <v>3082.8s</v>
      </c>
      <c r="X8" s="7"/>
      <c r="Y8" s="7"/>
      <c r="Z8" s="7"/>
      <c r="AA8" s="7"/>
    </row>
    <row customHeight="true" ht="15"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customHeight="true" ht="15" r="10">
      <c r="A10" s="7"/>
      <c r="B10" s="7" t="str">
        <v>2 bit</v>
      </c>
      <c r="C10" s="12">
        <v>1.06</v>
      </c>
      <c r="D10" s="12">
        <v>6.26</v>
      </c>
      <c r="E10" s="12">
        <v>2.93</v>
      </c>
      <c r="F10" s="12">
        <v>0.96</v>
      </c>
      <c r="G10" s="12">
        <v>3.16</v>
      </c>
      <c r="H10" s="12">
        <v>18.45</v>
      </c>
      <c r="I10" s="12">
        <v>0.29</v>
      </c>
      <c r="J10" s="12"/>
      <c r="K10" s="12">
        <v>52.75</v>
      </c>
      <c r="L10" s="12">
        <v>14.65</v>
      </c>
      <c r="M10" s="12">
        <v>5.21</v>
      </c>
      <c r="N10" s="12">
        <v>12.73</v>
      </c>
      <c r="O10" s="12"/>
      <c r="P10" s="12">
        <v>10.7</v>
      </c>
      <c r="Q10" s="12">
        <v>13.49</v>
      </c>
      <c r="R10" s="12">
        <v>17.47</v>
      </c>
      <c r="S10" s="12">
        <v>27</v>
      </c>
      <c r="T10" s="12">
        <v>6.9</v>
      </c>
      <c r="U10" s="12">
        <v>6.61</v>
      </c>
      <c r="V10" s="12">
        <v>5.47</v>
      </c>
      <c r="W10" s="12">
        <v>11.76</v>
      </c>
      <c r="X10" s="7"/>
      <c r="Y10" s="7"/>
      <c r="Z10" s="7"/>
      <c r="AA10" s="7"/>
      <c r="AB10" s="7"/>
    </row>
    <row customHeight="true" ht="15" r="11">
      <c r="A11" s="7"/>
      <c r="B11" s="7"/>
      <c r="C11" s="7" t="str">
        <v>2039.5s</v>
      </c>
      <c r="D11" s="7" t="str">
        <v>2715.7s</v>
      </c>
      <c r="E11" s="7" t="str">
        <v>3457.9s</v>
      </c>
      <c r="F11" s="7" t="str">
        <v>3441.8s</v>
      </c>
      <c r="G11" s="7" t="str">
        <v>3448.3s</v>
      </c>
      <c r="H11" s="7" t="str">
        <v>3505.9s</v>
      </c>
      <c r="I11" s="7" t="str">
        <v>3503.4s</v>
      </c>
      <c r="J11" s="7"/>
      <c r="K11" s="7" t="str">
        <v>3585.6s</v>
      </c>
      <c r="L11" s="7" t="str">
        <v>3806.6s</v>
      </c>
      <c r="M11" s="7" t="str">
        <v>3689.4s</v>
      </c>
      <c r="N11" s="7" t="str">
        <v>3654.4s</v>
      </c>
      <c r="O11" s="7"/>
      <c r="P11" s="7" t="str">
        <v>4239.9s</v>
      </c>
      <c r="Q11" s="7" t="str">
        <v>3657.8s</v>
      </c>
      <c r="R11" s="7" t="str">
        <v>3401.6s</v>
      </c>
      <c r="S11" s="7" t="str">
        <v>3782.6s</v>
      </c>
      <c r="T11" s="7" t="str">
        <v>3680.2s</v>
      </c>
      <c r="U11" s="7" t="str">
        <v>3667.3s</v>
      </c>
      <c r="V11" s="7" t="str">
        <v>4225.4s</v>
      </c>
      <c r="W11" s="7" t="str">
        <v>3619.7s</v>
      </c>
      <c r="X11" s="7"/>
      <c r="Y11" s="7"/>
      <c r="Z11" s="7"/>
      <c r="AA11" s="7"/>
      <c r="AB11" s="7"/>
    </row>
    <row customHeight="true" ht="15"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customHeight="true" ht="15" r="13">
      <c r="A13" s="7" t="str" xml:space="preserve">
        <v> REPQ-vit</v>
      </c>
      <c r="B13" s="7" t="str">
        <v>4 bit</v>
      </c>
      <c r="C13" s="12">
        <v>71.08</v>
      </c>
      <c r="D13" s="12">
        <v>92.47</v>
      </c>
      <c r="E13" s="12">
        <v>66.92</v>
      </c>
      <c r="F13" s="12">
        <v>93.37</v>
      </c>
      <c r="G13" s="12">
        <v>86.05</v>
      </c>
      <c r="H13" s="12">
        <v>85.62</v>
      </c>
      <c r="I13" s="12">
        <v>53.75</v>
      </c>
      <c r="J13" s="12"/>
      <c r="K13" s="12">
        <v>79.92</v>
      </c>
      <c r="L13" s="12">
        <v>93.69</v>
      </c>
      <c r="M13" s="12">
        <v>79.1</v>
      </c>
      <c r="N13" s="12">
        <v>73.79</v>
      </c>
      <c r="O13" s="12"/>
      <c r="P13" s="12">
        <v>32.18</v>
      </c>
      <c r="Q13" s="12">
        <v>53.16</v>
      </c>
      <c r="R13" s="12">
        <v>44.13</v>
      </c>
      <c r="S13" s="12">
        <v>72.01</v>
      </c>
      <c r="T13" s="12">
        <v>75.19</v>
      </c>
      <c r="U13" s="12">
        <v>44.22</v>
      </c>
      <c r="V13" s="12">
        <v>23.27</v>
      </c>
      <c r="W13" s="12">
        <v>25.11</v>
      </c>
      <c r="X13" s="7"/>
      <c r="Y13" s="7"/>
      <c r="Z13" s="7"/>
      <c r="AA13" s="7"/>
      <c r="AB13" s="7"/>
    </row>
    <row customHeight="true" ht="15" r="14">
      <c r="A14" s="7"/>
      <c r="B14" s="7"/>
      <c r="C14" s="8" t="str">
        <v>1312.8s</v>
      </c>
      <c r="D14" s="8" t="str">
        <v>1248.2s</v>
      </c>
      <c r="E14" s="8" t="str">
        <v>1456.2s</v>
      </c>
      <c r="F14" s="8" t="str">
        <v>1336.5s</v>
      </c>
      <c r="G14" s="8" t="str">
        <v>1381.6s</v>
      </c>
      <c r="H14" s="8" t="str">
        <v>1476.8s</v>
      </c>
      <c r="I14" s="8" t="str">
        <v>1379.9s</v>
      </c>
      <c r="J14" s="8"/>
      <c r="K14" s="8" t="str">
        <v>618.7s</v>
      </c>
      <c r="L14" s="8" t="str">
        <v>464.5s</v>
      </c>
      <c r="M14" s="8" t="str">
        <v>458.3s</v>
      </c>
      <c r="N14" s="8" t="str">
        <v>455.6s</v>
      </c>
      <c r="O14" s="8"/>
      <c r="P14" s="8" t="str">
        <v>449.2s</v>
      </c>
      <c r="Q14" s="8" t="str">
        <v>458.9s</v>
      </c>
      <c r="R14" s="8" t="str">
        <v>3381.8s</v>
      </c>
      <c r="S14" s="8" t="str">
        <v>3363.9s</v>
      </c>
      <c r="T14" s="8" t="str">
        <v>3414.2s</v>
      </c>
      <c r="U14" s="8" t="str">
        <v>3339.4s</v>
      </c>
      <c r="V14" s="8" t="str">
        <v>389.5s</v>
      </c>
      <c r="W14" s="8" t="str">
        <v>393.6s</v>
      </c>
      <c r="X14" s="8"/>
      <c r="Y14" s="8"/>
      <c r="Z14" s="8"/>
      <c r="AA14" s="8"/>
      <c r="AB14" s="8"/>
    </row>
    <row customHeight="true" ht="15"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customHeight="true" ht="15" r="16">
      <c r="A16" s="8"/>
      <c r="B16" s="8" t="str">
        <v>3 bit</v>
      </c>
      <c r="C16" s="8">
        <v>23.58</v>
      </c>
      <c r="D16" s="8">
        <v>61.21</v>
      </c>
      <c r="E16" s="8">
        <v>27.71</v>
      </c>
      <c r="F16" s="8">
        <v>45.54</v>
      </c>
      <c r="G16" s="8">
        <v>34.12</v>
      </c>
      <c r="H16" s="8">
        <v>43.92</v>
      </c>
      <c r="I16" s="8">
        <v>13.82</v>
      </c>
      <c r="J16" s="8"/>
      <c r="K16" s="8">
        <v>60.81</v>
      </c>
      <c r="L16" s="8">
        <v>55.3</v>
      </c>
      <c r="M16" s="8">
        <v>43.11</v>
      </c>
      <c r="N16" s="8">
        <v>62.07</v>
      </c>
      <c r="O16" s="8"/>
      <c r="P16" s="8">
        <v>17.01</v>
      </c>
      <c r="Q16" s="8">
        <v>29.69</v>
      </c>
      <c r="R16" s="8">
        <v>27.83</v>
      </c>
      <c r="S16" s="8">
        <v>27.99</v>
      </c>
      <c r="T16" s="8">
        <v>9.55</v>
      </c>
      <c r="U16" s="8">
        <v>7.75</v>
      </c>
      <c r="V16" s="8">
        <v>9.37</v>
      </c>
      <c r="W16" s="8">
        <v>13.76</v>
      </c>
      <c r="X16" s="8"/>
      <c r="Y16" s="8"/>
      <c r="Z16" s="8"/>
      <c r="AA16" s="8"/>
      <c r="AB16" s="8"/>
    </row>
    <row customHeight="true" ht="15" r="17">
      <c r="A17" s="8"/>
      <c r="B17" s="8"/>
      <c r="C17" s="8" t="str">
        <v>1514.2s</v>
      </c>
      <c r="D17" s="8" t="str">
        <v>1570.1s</v>
      </c>
      <c r="E17" s="8" t="str">
        <v>1386.2s</v>
      </c>
      <c r="F17" s="8" t="str">
        <v>1376.5s</v>
      </c>
      <c r="G17" s="8" t="str">
        <v>1295.3s</v>
      </c>
      <c r="H17" s="8" t="str">
        <v>1364.5s</v>
      </c>
      <c r="I17" s="8" t="str">
        <v>475.5s</v>
      </c>
      <c r="J17" s="8"/>
      <c r="K17" s="8" t="str">
        <v>995.9s</v>
      </c>
      <c r="L17" s="8" t="str">
        <v>653.1s</v>
      </c>
      <c r="M17" s="8" t="str">
        <v>814.2s</v>
      </c>
      <c r="N17" s="8" t="str">
        <v>1141.7s</v>
      </c>
      <c r="O17" s="8"/>
      <c r="P17" s="8" t="str">
        <v>931.8s</v>
      </c>
      <c r="Q17" s="8" t="str">
        <v>869.6s</v>
      </c>
      <c r="R17" s="8" t="str">
        <v>970.1s</v>
      </c>
      <c r="S17" s="8" t="str">
        <v>1064.2s</v>
      </c>
      <c r="T17" s="8" t="str">
        <v>740.9s</v>
      </c>
      <c r="U17" s="8" t="str">
        <v>1212.1s</v>
      </c>
      <c r="V17" s="8" t="str">
        <v>671.7s</v>
      </c>
      <c r="W17" s="8" t="str">
        <v>663.2s</v>
      </c>
      <c r="X17" s="8"/>
      <c r="Y17" s="8"/>
      <c r="Z17" s="8"/>
      <c r="AA17" s="8"/>
      <c r="AB17" s="8"/>
    </row>
    <row customHeight="true" ht="15"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customHeight="true" ht="15" r="19">
      <c r="A19" s="8"/>
      <c r="B19" s="8" t="str">
        <v>2 bit(no support)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customHeight="true" ht="15"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customHeight="true" ht="15"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customHeight="true" ht="15"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customHeight="true" ht="15" r="23">
      <c r="A23" s="8" t="str">
        <v>PTQ4VIT</v>
      </c>
      <c r="B23" s="8" t="str">
        <v>4 bit</v>
      </c>
      <c r="C23" s="10">
        <v>13.77</v>
      </c>
      <c r="D23" s="10">
        <v>17.92</v>
      </c>
      <c r="E23" s="10">
        <v>14.31</v>
      </c>
      <c r="F23" s="10">
        <v>7.38</v>
      </c>
      <c r="G23" s="10">
        <v>11.39</v>
      </c>
      <c r="H23" s="10">
        <v>39.62</v>
      </c>
      <c r="I23" s="10">
        <v>10.92</v>
      </c>
      <c r="J23" s="10"/>
      <c r="K23" s="10">
        <v>72.52</v>
      </c>
      <c r="L23" s="10">
        <v>48.72</v>
      </c>
      <c r="M23" s="10">
        <v>13.84</v>
      </c>
      <c r="N23" s="10">
        <v>39.28</v>
      </c>
      <c r="O23" s="10"/>
      <c r="P23" s="10">
        <v>23.7</v>
      </c>
      <c r="Q23" s="10">
        <v>17.83</v>
      </c>
      <c r="R23" s="10">
        <v>20.58</v>
      </c>
      <c r="S23" s="10">
        <v>36.43</v>
      </c>
      <c r="T23" s="10">
        <v>42.43</v>
      </c>
      <c r="U23" s="10">
        <v>22.04</v>
      </c>
      <c r="V23" s="10">
        <v>5.13</v>
      </c>
      <c r="W23" s="10">
        <v>15.66</v>
      </c>
      <c r="X23" s="8"/>
      <c r="Y23" s="8"/>
      <c r="Z23" s="8"/>
      <c r="AA23" s="8"/>
      <c r="AB23" s="8"/>
    </row>
    <row customHeight="true" ht="15" r="24">
      <c r="A24" s="8"/>
      <c r="B24" s="8"/>
      <c r="C24" s="8" t="str">
        <v>4818.9s</v>
      </c>
      <c r="D24" s="8" t="str">
        <v>4820.0s</v>
      </c>
      <c r="E24" s="8" t="str">
        <v>4844.1s</v>
      </c>
      <c r="F24" s="8" t="str">
        <v>9076.4s</v>
      </c>
      <c r="G24" s="8" t="str">
        <v>9316.3s</v>
      </c>
      <c r="H24" s="8" t="str">
        <v>9387.0s</v>
      </c>
      <c r="I24" s="8" t="str">
        <v>9384.0s</v>
      </c>
      <c r="J24" s="8"/>
      <c r="K24" s="8" t="str">
        <v>9383.2s</v>
      </c>
      <c r="L24" s="8" t="str">
        <v>9356.4s</v>
      </c>
      <c r="M24" s="8" t="str">
        <v>9336.3s</v>
      </c>
      <c r="N24" s="8" t="str">
        <v>9465.7s</v>
      </c>
      <c r="O24" s="8"/>
      <c r="P24" s="8" t="str">
        <v>9385.5s</v>
      </c>
      <c r="Q24" s="8" t="str">
        <v>9407.8s</v>
      </c>
      <c r="R24" s="8" t="str">
        <v>4817.3s</v>
      </c>
      <c r="S24" s="8" t="str">
        <v>4834.6s</v>
      </c>
      <c r="T24" s="8" t="str">
        <v>4808.9s</v>
      </c>
      <c r="U24" s="8" t="str">
        <v>4806.9s</v>
      </c>
      <c r="V24" s="8" t="str">
        <v>4808.3s</v>
      </c>
      <c r="W24" s="8" t="str">
        <v>4808.1s</v>
      </c>
      <c r="X24" s="8"/>
      <c r="Y24" s="8"/>
      <c r="Z24" s="8"/>
      <c r="AA24" s="8"/>
      <c r="AB24" s="8"/>
    </row>
    <row customHeight="true" ht="15"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customHeight="true" ht="15" r="26">
      <c r="A26" s="8"/>
      <c r="B26" s="8" t="str">
        <v>3 bit</v>
      </c>
      <c r="C26" s="10">
        <v>8.5</v>
      </c>
      <c r="D26" s="10">
        <v>20.41</v>
      </c>
      <c r="E26" s="10">
        <v>4.26</v>
      </c>
      <c r="F26" s="10">
        <v>2.29</v>
      </c>
      <c r="G26" s="10">
        <v>6.6</v>
      </c>
      <c r="H26" s="10">
        <v>13.7</v>
      </c>
      <c r="I26" s="10">
        <v>7.7</v>
      </c>
      <c r="J26" s="10"/>
      <c r="K26" s="10">
        <v>60</v>
      </c>
      <c r="L26" s="10">
        <v>24.76</v>
      </c>
      <c r="M26" s="10">
        <v>7.97</v>
      </c>
      <c r="N26" s="10">
        <v>49.96</v>
      </c>
      <c r="O26" s="10"/>
      <c r="P26" s="10">
        <v>18.33</v>
      </c>
      <c r="Q26" s="10">
        <v>14.06</v>
      </c>
      <c r="R26" s="10">
        <v>24.02</v>
      </c>
      <c r="S26" s="10">
        <v>28.13</v>
      </c>
      <c r="T26" s="10">
        <v>7.88</v>
      </c>
      <c r="U26" s="10">
        <v>10.16</v>
      </c>
      <c r="V26" s="10">
        <v>4.85</v>
      </c>
      <c r="W26" s="10">
        <v>11.51</v>
      </c>
      <c r="X26" s="8"/>
      <c r="Y26" s="8"/>
      <c r="Z26" s="8"/>
      <c r="AA26" s="8"/>
      <c r="AB26" s="8"/>
    </row>
    <row customHeight="true" ht="15" r="27">
      <c r="A27" s="8"/>
      <c r="B27" s="8"/>
      <c r="C27" s="8" t="str">
        <v>1847.1s</v>
      </c>
      <c r="D27" s="8" t="str">
        <v>1812.2s</v>
      </c>
      <c r="E27" s="8" t="str">
        <v>1874.2s</v>
      </c>
      <c r="F27" s="8" t="str">
        <v>1830.5s</v>
      </c>
      <c r="G27" s="8" t="str">
        <v>1820.8s</v>
      </c>
      <c r="H27" s="8" t="str">
        <v>1831.8s</v>
      </c>
      <c r="I27" s="8" t="str">
        <v>1842.0s</v>
      </c>
      <c r="J27" s="8"/>
      <c r="K27" s="8" t="str">
        <v>2026.2s</v>
      </c>
      <c r="L27" s="8" t="str">
        <v>2016.1s</v>
      </c>
      <c r="M27" s="8" t="str">
        <v>2003.2s</v>
      </c>
      <c r="N27" s="8" t="str">
        <v>2043.7s</v>
      </c>
      <c r="O27" s="8"/>
      <c r="P27" s="8" t="str">
        <v>2011.5s</v>
      </c>
      <c r="Q27" s="8" t="str">
        <v>1994.3s</v>
      </c>
      <c r="R27" s="8" t="str">
        <v>2088.2s</v>
      </c>
      <c r="S27" s="8" t="str">
        <v>2092.0s</v>
      </c>
      <c r="T27" s="8" t="str">
        <v>2006.1s</v>
      </c>
      <c r="U27" s="8" t="str">
        <v>1995.2s</v>
      </c>
      <c r="V27" s="8" t="str">
        <v>1972.8s</v>
      </c>
      <c r="W27" s="8" t="str">
        <v>1885.9s</v>
      </c>
      <c r="X27" s="8"/>
      <c r="Y27" s="8"/>
      <c r="Z27" s="8"/>
      <c r="AA27" s="8"/>
      <c r="AB27" s="8"/>
    </row>
    <row customHeight="true" ht="15"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customHeight="true" ht="15" r="29">
      <c r="A29" s="8"/>
      <c r="B29" s="8" t="str">
        <v>2 bit</v>
      </c>
      <c r="C29" s="10">
        <v>1.42</v>
      </c>
      <c r="D29" s="10">
        <v>3.3</v>
      </c>
      <c r="E29" s="10">
        <v>3.35</v>
      </c>
      <c r="F29" s="10">
        <v>0.85</v>
      </c>
      <c r="G29" s="10">
        <v>2.97</v>
      </c>
      <c r="H29" s="10">
        <v>10.65</v>
      </c>
      <c r="I29" s="10">
        <v>0.41</v>
      </c>
      <c r="J29" s="10"/>
      <c r="K29" s="10">
        <v>50.14</v>
      </c>
      <c r="L29" s="10">
        <v>12.78</v>
      </c>
      <c r="M29" s="10">
        <v>2.11</v>
      </c>
      <c r="N29" s="10">
        <v>20.34</v>
      </c>
      <c r="O29" s="10"/>
      <c r="P29" s="10">
        <v>12.27</v>
      </c>
      <c r="Q29" s="10">
        <v>16.93</v>
      </c>
      <c r="R29" s="10">
        <v>16.59</v>
      </c>
      <c r="S29" s="10">
        <v>32.21</v>
      </c>
      <c r="T29" s="10">
        <v>5.95</v>
      </c>
      <c r="U29" s="10">
        <v>6.47</v>
      </c>
      <c r="V29" s="10">
        <v>5.89</v>
      </c>
      <c r="W29" s="10">
        <v>11.05</v>
      </c>
      <c r="X29" s="8"/>
      <c r="Y29" s="8"/>
      <c r="Z29" s="8"/>
      <c r="AA29" s="8"/>
      <c r="AB29" s="8"/>
    </row>
    <row customHeight="true" ht="15" r="30">
      <c r="A30" s="8"/>
      <c r="B30" s="8"/>
      <c r="C30" s="8" t="str">
        <v>4768.8s</v>
      </c>
      <c r="D30" s="8" t="str">
        <v>4748.1s</v>
      </c>
      <c r="E30" s="8" t="str">
        <v>4756.0s</v>
      </c>
      <c r="F30" s="8" t="str">
        <v>4769.3s</v>
      </c>
      <c r="G30" s="8" t="str">
        <v>4756.3s</v>
      </c>
      <c r="H30" s="8" t="str">
        <v>4742.8s</v>
      </c>
      <c r="I30" s="8" t="str">
        <v>4758.0s</v>
      </c>
      <c r="J30" s="8"/>
      <c r="K30" s="8" t="str">
        <v>4739.0s</v>
      </c>
      <c r="L30" s="8" t="str">
        <v>4734.4s</v>
      </c>
      <c r="M30" s="8" t="str">
        <v>4735.6s</v>
      </c>
      <c r="N30" s="8" t="str">
        <v>4748.4s</v>
      </c>
      <c r="O30" s="8"/>
      <c r="P30" s="8" t="str">
        <v>4749.5s</v>
      </c>
      <c r="Q30" s="8" t="str">
        <v>4751.4s</v>
      </c>
      <c r="R30" s="8" t="str">
        <v>4762.5s</v>
      </c>
      <c r="S30" s="8" t="str">
        <v>4785.0s</v>
      </c>
      <c r="T30" s="8" t="str">
        <v>4736.3s</v>
      </c>
      <c r="U30" s="8" t="str">
        <v>4746.2s</v>
      </c>
      <c r="V30" s="8" t="str">
        <v>4749.0s</v>
      </c>
      <c r="W30" s="8" t="str">
        <v>4759.8s</v>
      </c>
      <c r="X30" s="8"/>
      <c r="Y30" s="8"/>
      <c r="Z30" s="8"/>
      <c r="AA30" s="8"/>
      <c r="AB30" s="8"/>
    </row>
    <row customHeight="true" ht="15"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customHeight="true" ht="15"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customHeight="true" ht="15"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customHeight="true" ht="15"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</sheetData>
  <mergeCells>
    <mergeCell ref="C1:J1"/>
    <mergeCell ref="K1:O1"/>
    <mergeCell ref="P1:X1"/>
    <mergeCell ref="A4:A5"/>
    <mergeCell ref="B4:B5"/>
    <mergeCell ref="B7:B8"/>
    <mergeCell ref="R6:W6"/>
    <mergeCell ref="C9:I9"/>
    <mergeCell ref="A13:A14"/>
    <mergeCell ref="B13:B14"/>
    <mergeCell ref="B10:B11"/>
    <mergeCell ref="A15:B15"/>
    <mergeCell ref="K9:Q9"/>
    <mergeCell ref="R9:W9"/>
    <mergeCell ref="B16:B17"/>
    <mergeCell ref="C12:I12"/>
    <mergeCell ref="K12:Q12"/>
    <mergeCell ref="R12:W12"/>
    <mergeCell ref="B19:B20"/>
    <mergeCell ref="A18:B18"/>
    <mergeCell ref="A21:B21"/>
    <mergeCell ref="A23:A24"/>
    <mergeCell ref="B23:B24"/>
    <mergeCell ref="B26:B27"/>
    <mergeCell ref="B29:B3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