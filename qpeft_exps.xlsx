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firstSheet="1" activeTab="5"/>
  </bookViews>
  <sheets>
    <sheet name="vitb_vtab" sheetId="2" r:id="rId1"/>
    <sheet name="vitl_vtab" sheetId="3" r:id="rId2"/>
    <sheet name="QAT_baselines" sheetId="4" r:id="rId3"/>
    <sheet name="full_img_cls" sheetId="5" r:id="rId4"/>
    <sheet name="abl_on_shift" sheetId="8" r:id="rId5"/>
    <sheet name="abl_on_drop_epc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<sst xmlns="http://schemas.openxmlformats.org/spreadsheetml/2006/main" count="212" uniqueCount="70">
  <si>
    <t>Methods</t>
  </si>
  <si>
    <t>W/A</t>
  </si>
  <si>
    <t>Params</t>
  </si>
  <si>
    <t>Natural</t>
  </si>
  <si>
    <t>Specialized</t>
  </si>
  <si>
    <t>Structured</t>
  </si>
  <si>
    <t>comments</t>
  </si>
  <si>
    <t>server</t>
  </si>
  <si>
    <t>time</t>
  </si>
  <si>
    <t>Cifar100</t>
  </si>
  <si>
    <t>Caltech101</t>
  </si>
  <si>
    <t>DTD</t>
  </si>
  <si>
    <t>Flowers102</t>
  </si>
  <si>
    <t>Pets</t>
  </si>
  <si>
    <t>SVHN</t>
  </si>
  <si>
    <t>Sun397</t>
  </si>
  <si>
    <t>Group Avg.</t>
  </si>
  <si>
    <t>Camelyon</t>
  </si>
  <si>
    <t>EuroSAT</t>
  </si>
  <si>
    <t>Resisc45</t>
  </si>
  <si>
    <t>Retinopathy</t>
  </si>
  <si>
    <t>Clevr-Count</t>
  </si>
  <si>
    <t>Clevr-Dist</t>
  </si>
  <si>
    <t>DMLAB</t>
  </si>
  <si>
    <t>KITTI-Dist</t>
  </si>
  <si>
    <t>dSpr-Loc</t>
  </si>
  <si>
    <t>dSpr-Ori</t>
  </si>
  <si>
    <t>sNORB-Azim</t>
  </si>
  <si>
    <t>sNORB-Ele</t>
  </si>
  <si>
    <t>Average</t>
  </si>
  <si>
    <t>LoRA(r=2),qkv_fc1</t>
  </si>
  <si>
    <t>32/32</t>
  </si>
  <si>
    <t>165888</t>
  </si>
  <si>
    <t>LoRA(r=2),qkv_fc1,with-grad-scale</t>
  </si>
  <si>
    <t>4/4</t>
  </si>
  <si>
    <t>165888+83484</t>
  </si>
  <si>
    <t>init shift=0.17, per-tensor</t>
  </si>
  <si>
    <t>3/3</t>
  </si>
  <si>
    <t>Tot. Avg</t>
  </si>
  <si>
    <t>lora2, qkv-fc1</t>
  </si>
  <si>
    <t>442368+222168</t>
  </si>
  <si>
    <t>2/2</t>
  </si>
  <si>
    <t>T=vtab_Q=3bit_L=None</t>
  </si>
  <si>
    <t>T=vtab_Q=4bit_L=None</t>
  </si>
  <si>
    <t>cifar</t>
  </si>
  <si>
    <t>food101</t>
  </si>
  <si>
    <t>svhn</t>
  </si>
  <si>
    <t>FP32_LoRA</t>
  </si>
  <si>
    <t>20epc, epc-based update</t>
  </si>
  <si>
    <t>3bit_QAT</t>
  </si>
  <si>
    <t>4bit_QAT</t>
  </si>
  <si>
    <t>3bit_ours</t>
  </si>
  <si>
    <t>4bit_ours</t>
  </si>
  <si>
    <t>no-shift</t>
  </si>
  <si>
    <t>165888+83328</t>
  </si>
  <si>
    <t>没有任何shift</t>
  </si>
  <si>
    <t>shift as constant</t>
  </si>
  <si>
    <t>post-gelu-shift=0.17</t>
  </si>
  <si>
    <t>drop_epc=0</t>
  </si>
  <si>
    <t>165888+83340</t>
  </si>
  <si>
    <t>drop_epc=01</t>
  </si>
  <si>
    <t>drop_epc=02</t>
  </si>
  <si>
    <t>drop_epc=03</t>
  </si>
  <si>
    <t>drop_epc=04</t>
  </si>
  <si>
    <t>drop_epc=05</t>
  </si>
  <si>
    <t>drop_epc=06</t>
  </si>
  <si>
    <t>drop_epc=07</t>
  </si>
  <si>
    <t>drop_epc=08</t>
  </si>
  <si>
    <t>drop_epc=09</t>
  </si>
  <si>
    <t>drop_epc=10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</si>
</sst>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"/>
    <numFmt numFmtId="178" formatCode="0.00_ "/>
  </numFmts>
  <fonts count="30">
    <font>
      <sz val="10"/>
      <color theme="1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b/>
      <sz val="10.5"/>
      <color rgb="FFFF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0.5"/>
      <color rgb="FFFF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10"/>
      <name val="等线"/>
      <charset val="134"/>
      <scheme val="minor"/>
    </font>
    <font>
      <sz val="10.5"/>
      <name val="等线"/>
      <charset val="134"/>
      <scheme val="minor"/>
    </font>
    <font>
      <b/>
      <sz val="10.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6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2" fontId="2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78" fontId="9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9"/>
  <sheetViews>
    <sheetView workbookViewId="0">
      <selection activeCell="C7" sqref="C7"/>
    </sheetView>
  </sheetViews>
  <sheetFormatPr defaultColWidth="14" defaultRowHeight="13"/>
  <cols>
    <col min="1" max="26" width="10" customWidth="1"/>
    <col min="27" max="27" width="15" customWidth="1"/>
    <col min="28" max="29" width="10" customWidth="1"/>
  </cols>
  <sheetData>
    <row r="1" ht="15" customHeight="1" spans="1:29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 t="s">
        <v>4</v>
      </c>
      <c r="M1" s="2"/>
      <c r="N1" s="2"/>
      <c r="O1" s="2"/>
      <c r="P1" s="2"/>
      <c r="Q1" s="2" t="s">
        <v>5</v>
      </c>
      <c r="R1" s="2"/>
      <c r="S1" s="2"/>
      <c r="T1" s="2"/>
      <c r="U1" s="2"/>
      <c r="V1" s="2"/>
      <c r="W1" s="2"/>
      <c r="X1" s="2"/>
      <c r="Y1" s="2"/>
      <c r="Z1" s="3"/>
      <c r="AA1" s="2" t="s">
        <v>6</v>
      </c>
      <c r="AB1" s="4" t="s">
        <v>7</v>
      </c>
      <c r="AC1" s="4" t="s">
        <v>8</v>
      </c>
    </row>
    <row r="2" ht="29" customHeight="1" spans="1:29">
      <c r="A2" s="5"/>
      <c r="B2" s="5"/>
      <c r="C2" s="5"/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3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3" t="s">
        <v>16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X2" s="4" t="s">
        <v>28</v>
      </c>
      <c r="Y2" s="18" t="s">
        <v>16</v>
      </c>
      <c r="Z2" s="18" t="s">
        <v>29</v>
      </c>
      <c r="AA2" s="4"/>
    </row>
    <row r="3" ht="43" customHeight="1" spans="1:29">
      <c r="A3" s="5" t="s">
        <v>30</v>
      </c>
      <c r="B3" s="5" t="s">
        <v>31</v>
      </c>
      <c r="C3" s="5" t="s">
        <v>32</v>
      </c>
      <c r="D3" s="19">
        <v>73.08</v>
      </c>
      <c r="E3" s="19">
        <v>93.26</v>
      </c>
      <c r="F3" s="19">
        <v>70.96</v>
      </c>
      <c r="G3" s="19">
        <v>99.14</v>
      </c>
      <c r="H3" s="19">
        <v>90.9</v>
      </c>
      <c r="I3" s="19">
        <v>86.46</v>
      </c>
      <c r="J3" s="19">
        <v>55.59</v>
      </c>
      <c r="K3" s="20">
        <f>AVERAGE(D3:J3)</f>
        <v>81.3414285714286</v>
      </c>
      <c r="L3" s="19">
        <v>87.75</v>
      </c>
      <c r="M3" s="19">
        <v>95.54</v>
      </c>
      <c r="N3" s="19">
        <v>85.86</v>
      </c>
      <c r="O3" s="19">
        <v>75.41</v>
      </c>
      <c r="P3" s="20">
        <f>AVERAGE(L3:O3)</f>
        <v>86.14</v>
      </c>
      <c r="Q3" s="19">
        <v>79.59</v>
      </c>
      <c r="R3" s="19">
        <v>63.2</v>
      </c>
      <c r="S3" s="19">
        <v>50.57</v>
      </c>
      <c r="T3" s="19">
        <v>80.03</v>
      </c>
      <c r="U3" s="19">
        <v>83.81</v>
      </c>
      <c r="V3" s="19">
        <v>51.65</v>
      </c>
      <c r="W3" s="19">
        <v>31.16</v>
      </c>
      <c r="X3" s="19">
        <v>42.41</v>
      </c>
      <c r="Y3" s="18">
        <f>AVERAGE(Q3:X3)</f>
        <v>60.3025</v>
      </c>
      <c r="Z3" s="18">
        <f>AVERAGE(K3,P3,Y3)</f>
        <v>75.9279761904762</v>
      </c>
      <c r="AA3" s="4"/>
      <c r="AB3" s="4">
        <v>190</v>
      </c>
    </row>
    <row r="4" s="17" customFormat="1" ht="72" customHeight="1" spans="1:29">
      <c r="A4" s="21" t="s">
        <v>33</v>
      </c>
      <c r="B4" s="21" t="s">
        <v>34</v>
      </c>
      <c r="C4" s="21" t="s">
        <v>35</v>
      </c>
      <c r="D4" s="22">
        <v>57.94</v>
      </c>
      <c r="E4" s="22">
        <v>91.81</v>
      </c>
      <c r="F4" s="22">
        <v>67.29</v>
      </c>
      <c r="G4" s="22">
        <v>97.79</v>
      </c>
      <c r="H4" s="22">
        <v>85.58</v>
      </c>
      <c r="I4" s="22">
        <v>86.58</v>
      </c>
      <c r="J4" s="22">
        <v>43.45</v>
      </c>
      <c r="K4" s="22">
        <v>75.78</v>
      </c>
      <c r="L4" s="22">
        <v>86.17</v>
      </c>
      <c r="M4" s="22">
        <v>95.3</v>
      </c>
      <c r="N4" s="22">
        <v>85.17</v>
      </c>
      <c r="O4" s="22">
        <v>74.82</v>
      </c>
      <c r="P4" s="22">
        <v>85.36</v>
      </c>
      <c r="Q4" s="22">
        <v>76.47</v>
      </c>
      <c r="R4" s="22">
        <v>63.87</v>
      </c>
      <c r="S4" s="22">
        <v>50.05</v>
      </c>
      <c r="T4" s="22">
        <v>80.31</v>
      </c>
      <c r="U4" s="22">
        <v>83.84</v>
      </c>
      <c r="V4" s="22">
        <v>51.43</v>
      </c>
      <c r="W4" s="22">
        <v>32.34</v>
      </c>
      <c r="X4" s="22">
        <v>42.8</v>
      </c>
      <c r="Y4" s="22">
        <v>60.14</v>
      </c>
      <c r="Z4" s="22">
        <v>73.76</v>
      </c>
      <c r="AA4" s="23" t="s">
        <v>36</v>
      </c>
      <c r="AB4" s="24"/>
    </row>
    <row r="5" s="17" customFormat="1" ht="72" customHeight="1" spans="1:29">
      <c r="A5" s="21" t="s">
        <v>33</v>
      </c>
      <c r="B5" s="21" t="s">
        <v>37</v>
      </c>
      <c r="C5" s="21" t="s">
        <v>35</v>
      </c>
      <c r="D5" s="23">
        <v>55.5</v>
      </c>
      <c r="E5" s="23">
        <v>90.66</v>
      </c>
      <c r="F5" s="23">
        <v>65.85</v>
      </c>
      <c r="G5" s="23">
        <v>96.63</v>
      </c>
      <c r="H5" s="23">
        <v>82.53</v>
      </c>
      <c r="I5" s="23">
        <v>86.98</v>
      </c>
      <c r="J5" s="23">
        <v>41.09</v>
      </c>
      <c r="K5" s="25">
        <f>AVERAGE(D5:J5)</f>
        <v>74.1771428571429</v>
      </c>
      <c r="L5" s="23">
        <v>85.21</v>
      </c>
      <c r="M5" s="23">
        <v>94.78</v>
      </c>
      <c r="N5" s="23">
        <v>83.89</v>
      </c>
      <c r="O5" s="23">
        <v>74.47</v>
      </c>
      <c r="P5" s="25">
        <f>AVERAGE(L5:O5)</f>
        <v>84.5875</v>
      </c>
      <c r="Q5" s="23">
        <v>71.77</v>
      </c>
      <c r="R5" s="23">
        <v>62.71</v>
      </c>
      <c r="S5" s="23">
        <v>49.39</v>
      </c>
      <c r="T5" s="23">
        <v>79.61</v>
      </c>
      <c r="U5" s="23">
        <v>82.59</v>
      </c>
      <c r="V5" s="23">
        <v>50.72</v>
      </c>
      <c r="W5" s="23">
        <v>33.05</v>
      </c>
      <c r="X5" s="23">
        <v>41.55</v>
      </c>
      <c r="Y5" s="25">
        <f>AVERAGE(Q5:X5)</f>
        <v>58.92375</v>
      </c>
      <c r="Z5" s="25">
        <f>AVERAGE(K5,P5,Y5)</f>
        <v>72.5627976190476</v>
      </c>
      <c r="AA5" s="23" t="s">
        <v>36</v>
      </c>
    </row>
    <row r="6" ht="15" customHeight="1"/>
    <row r="7" ht="15" customHeight="1"/>
    <row r="8" ht="15" customHeight="1"/>
    <row r="9" ht="15" customHeight="1"/>
  </sheetData>
  <mergeCells count="3">
    <mergeCell ref="D1:K1"/>
    <mergeCell ref="L1:P1"/>
    <mergeCell ref="Q1:Y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20"/>
  <sheetViews>
    <sheetView zoomScale="126" zoomScaleNormal="126" workbookViewId="0">
      <selection activeCell="L21" sqref="L21"/>
    </sheetView>
  </sheetViews>
  <sheetFormatPr defaultColWidth="14" defaultRowHeight="13"/>
  <cols>
    <col min="1" max="1" width="17" customWidth="1"/>
    <col min="2" max="29" width="10" customWidth="1"/>
  </cols>
  <sheetData>
    <row r="1" ht="29" customHeight="1" spans="1:29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3"/>
      <c r="L1" s="2" t="s">
        <v>4</v>
      </c>
      <c r="M1" s="2"/>
      <c r="N1" s="2"/>
      <c r="O1" s="2"/>
      <c r="P1" s="3"/>
      <c r="Q1" s="2" t="s">
        <v>5</v>
      </c>
      <c r="R1" s="2"/>
      <c r="S1" s="2"/>
      <c r="T1" s="2"/>
      <c r="U1" s="2"/>
      <c r="V1" s="2"/>
      <c r="W1" s="2"/>
      <c r="X1" s="2"/>
      <c r="Y1" s="3"/>
      <c r="Z1" s="3"/>
      <c r="AA1" s="3"/>
      <c r="AB1" s="2" t="s">
        <v>6</v>
      </c>
      <c r="AC1" s="4" t="s">
        <v>7</v>
      </c>
    </row>
    <row r="2" ht="29" customHeight="1" spans="1:29">
      <c r="A2" s="5"/>
      <c r="B2" s="5"/>
      <c r="C2" s="5"/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3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3" t="s">
        <v>16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X2" s="4" t="s">
        <v>28</v>
      </c>
      <c r="Y2" s="3" t="s">
        <v>16</v>
      </c>
      <c r="Z2" s="3" t="s">
        <v>29</v>
      </c>
      <c r="AA2" s="3" t="s">
        <v>38</v>
      </c>
      <c r="AB2" s="4"/>
    </row>
    <row r="3" ht="15" customHeight="1" spans="1:29">
      <c r="A3" s="14" t="s">
        <v>39</v>
      </c>
      <c r="B3" s="15" t="s">
        <v>31</v>
      </c>
      <c r="C3" s="14">
        <v>442368</v>
      </c>
      <c r="D3" s="14">
        <v>76.99</v>
      </c>
      <c r="E3" s="14">
        <v>93.28</v>
      </c>
      <c r="F3" s="14">
        <v>73.56</v>
      </c>
      <c r="G3" s="14">
        <v>99.43</v>
      </c>
      <c r="H3" s="14">
        <v>92.37</v>
      </c>
      <c r="I3" s="14">
        <v>89.16</v>
      </c>
      <c r="J3" s="14">
        <v>58.66</v>
      </c>
      <c r="K3" s="16">
        <v>83.35</v>
      </c>
      <c r="L3" s="14">
        <v>87.94</v>
      </c>
      <c r="M3" s="14">
        <v>95.85</v>
      </c>
      <c r="N3" s="14">
        <v>86.56</v>
      </c>
      <c r="O3" s="14">
        <v>75.75</v>
      </c>
      <c r="P3" s="16">
        <v>86.53</v>
      </c>
      <c r="Q3" s="14">
        <v>74.12</v>
      </c>
      <c r="R3" s="14">
        <v>60.49</v>
      </c>
      <c r="S3" s="14">
        <v>50.58</v>
      </c>
      <c r="T3" s="14">
        <v>80.73</v>
      </c>
      <c r="U3" s="14">
        <v>84.39</v>
      </c>
      <c r="V3" s="14">
        <v>52.81</v>
      </c>
      <c r="W3" s="14">
        <v>29.02</v>
      </c>
      <c r="X3" s="14">
        <v>38.82</v>
      </c>
      <c r="Y3" s="16">
        <v>58.87</v>
      </c>
      <c r="Z3" s="16">
        <v>76.25</v>
      </c>
      <c r="AA3" s="16">
        <v>73.71</v>
      </c>
    </row>
    <row r="4" ht="29" customHeight="1" spans="1:29">
      <c r="A4" s="5" t="s">
        <v>33</v>
      </c>
      <c r="B4" s="15" t="s">
        <v>37</v>
      </c>
      <c r="C4" s="14" t="s">
        <v>40</v>
      </c>
      <c r="D4" s="14">
        <v>71.01</v>
      </c>
      <c r="E4" s="14">
        <v>92.34</v>
      </c>
      <c r="F4" s="14">
        <v>70.37</v>
      </c>
      <c r="G4" s="14">
        <v>98.52</v>
      </c>
      <c r="H4" s="14">
        <v>88.83</v>
      </c>
      <c r="I4" s="14">
        <v>90.33</v>
      </c>
      <c r="J4" s="14">
        <v>49.73</v>
      </c>
      <c r="K4" s="16">
        <v>80.16</v>
      </c>
      <c r="L4" s="14">
        <v>85.49</v>
      </c>
      <c r="M4" s="14">
        <v>95.41</v>
      </c>
      <c r="N4" s="14">
        <v>85.75</v>
      </c>
      <c r="O4" s="14">
        <v>74.43</v>
      </c>
      <c r="P4" s="16">
        <v>85.27</v>
      </c>
      <c r="Q4" s="14">
        <v>77.34</v>
      </c>
      <c r="R4" s="14">
        <v>60.76</v>
      </c>
      <c r="S4" s="14">
        <v>50.95</v>
      </c>
      <c r="T4" s="14">
        <v>80.31</v>
      </c>
      <c r="U4" s="14">
        <v>85.73</v>
      </c>
      <c r="V4" s="14">
        <v>53.71</v>
      </c>
      <c r="W4" s="14">
        <v>35.33</v>
      </c>
      <c r="X4" s="14">
        <v>40.48</v>
      </c>
      <c r="Y4" s="16">
        <v>60.58</v>
      </c>
      <c r="Z4" s="16">
        <v>75.34</v>
      </c>
      <c r="AA4" s="16">
        <v>72.99</v>
      </c>
    </row>
    <row r="5" ht="29" customHeight="1" spans="1:29">
      <c r="A5" s="5" t="s">
        <v>33</v>
      </c>
      <c r="B5" s="15" t="s">
        <v>34</v>
      </c>
      <c r="C5" s="14" t="s">
        <v>40</v>
      </c>
      <c r="D5" s="14">
        <v>74.84</v>
      </c>
      <c r="E5" s="14">
        <v>92.87</v>
      </c>
      <c r="F5" s="14">
        <v>71.65</v>
      </c>
      <c r="G5" s="14">
        <v>99.37</v>
      </c>
      <c r="H5" s="14">
        <v>90.9</v>
      </c>
      <c r="I5" s="14">
        <v>89.81</v>
      </c>
      <c r="J5" s="14">
        <v>53.24</v>
      </c>
      <c r="K5" s="16">
        <v>81.81</v>
      </c>
      <c r="L5" s="14">
        <v>86.9</v>
      </c>
      <c r="M5" s="14">
        <v>96.09</v>
      </c>
      <c r="N5" s="14">
        <v>87.06</v>
      </c>
      <c r="O5" s="14">
        <v>74.28</v>
      </c>
      <c r="P5" s="16">
        <v>86.08</v>
      </c>
      <c r="Q5" s="14">
        <v>74.69</v>
      </c>
      <c r="R5" s="14">
        <v>60.11</v>
      </c>
      <c r="S5" s="14">
        <v>52.25</v>
      </c>
      <c r="T5" s="14">
        <v>81.86</v>
      </c>
      <c r="U5" s="14">
        <v>85.81</v>
      </c>
      <c r="V5" s="14">
        <v>54.47</v>
      </c>
      <c r="W5" s="14">
        <v>34.08</v>
      </c>
      <c r="X5" s="14">
        <v>39.61</v>
      </c>
      <c r="Y5" s="16">
        <v>60.36</v>
      </c>
      <c r="Z5" s="16">
        <v>76.08</v>
      </c>
      <c r="AA5" s="16">
        <v>73.68</v>
      </c>
    </row>
    <row r="6" ht="15" customHeight="1" spans="1:29">
      <c r="B6" s="15" t="s">
        <v>41</v>
      </c>
      <c r="D6" s="14">
        <v>42.7</v>
      </c>
      <c r="E6" s="14">
        <v>79.8</v>
      </c>
      <c r="F6" s="14">
        <v>50.11</v>
      </c>
      <c r="G6" s="14">
        <v>86.91</v>
      </c>
      <c r="H6" s="14">
        <v>63.23</v>
      </c>
      <c r="I6" s="14">
        <v>84.99</v>
      </c>
      <c r="J6" s="14">
        <v>28.4</v>
      </c>
      <c r="K6" s="16">
        <v>62.31</v>
      </c>
      <c r="L6" s="14">
        <v>79.1</v>
      </c>
      <c r="M6" s="14">
        <v>91.59</v>
      </c>
      <c r="N6" s="14">
        <v>73.19</v>
      </c>
      <c r="O6" s="14">
        <v>73.6</v>
      </c>
      <c r="P6" s="16">
        <v>79.37</v>
      </c>
      <c r="Q6" s="14">
        <v>56.88</v>
      </c>
      <c r="R6" s="14">
        <v>59.73</v>
      </c>
      <c r="S6" s="14">
        <v>41.62</v>
      </c>
      <c r="T6" s="14">
        <v>71.17</v>
      </c>
      <c r="U6" s="14">
        <v>74.19</v>
      </c>
      <c r="V6" s="14">
        <v>48.48</v>
      </c>
      <c r="W6" s="14">
        <v>30.08</v>
      </c>
      <c r="X6" s="14">
        <v>40.79</v>
      </c>
      <c r="Y6" s="16">
        <v>52.87</v>
      </c>
      <c r="Z6" s="16">
        <v>64.85</v>
      </c>
      <c r="AA6" s="16">
        <v>61.92</v>
      </c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mergeCells count="3">
    <mergeCell ref="D1:K1"/>
    <mergeCell ref="L1:P1"/>
    <mergeCell ref="Q1:Y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5"/>
  <sheetViews>
    <sheetView workbookViewId="0">
      <selection activeCell="D12" sqref="D12"/>
    </sheetView>
  </sheetViews>
  <sheetFormatPr defaultColWidth="14" defaultRowHeight="13" outlineLevelRow="4"/>
  <sheetData>
    <row r="1" ht="13.5" spans="1:30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 t="s">
        <v>4</v>
      </c>
      <c r="M1" s="2"/>
      <c r="N1" s="2"/>
      <c r="O1" s="2"/>
      <c r="P1" s="2"/>
      <c r="Q1" s="2" t="s">
        <v>5</v>
      </c>
      <c r="R1" s="2"/>
      <c r="S1" s="2"/>
      <c r="T1" s="2"/>
      <c r="U1" s="2"/>
      <c r="V1" s="2"/>
      <c r="W1" s="2"/>
      <c r="X1" s="2"/>
      <c r="Y1" s="2"/>
      <c r="Z1" s="3"/>
      <c r="AA1" s="3"/>
      <c r="AB1" s="2" t="s">
        <v>6</v>
      </c>
      <c r="AC1" s="4" t="s">
        <v>7</v>
      </c>
      <c r="AD1" s="13"/>
    </row>
    <row r="2" ht="13.5" spans="1:30">
      <c r="A2" s="5"/>
      <c r="B2" s="5"/>
      <c r="C2" s="5"/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3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3" t="s">
        <v>16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X2" s="4" t="s">
        <v>28</v>
      </c>
      <c r="Y2" s="3" t="s">
        <v>16</v>
      </c>
      <c r="Z2" s="3" t="s">
        <v>29</v>
      </c>
      <c r="AA2" s="3" t="s">
        <v>38</v>
      </c>
      <c r="AB2" s="4"/>
      <c r="AC2" s="4"/>
      <c r="AD2" s="13"/>
    </row>
    <row r="3" spans="1:30">
      <c r="A3" t="s">
        <v>42</v>
      </c>
      <c r="D3">
        <v>30.84</v>
      </c>
      <c r="E3">
        <v>66.19</v>
      </c>
      <c r="F3">
        <v>36.06</v>
      </c>
      <c r="G3">
        <v>58.06</v>
      </c>
      <c r="H3">
        <v>41.51</v>
      </c>
      <c r="I3">
        <v>85.88</v>
      </c>
      <c r="J3">
        <v>19.9</v>
      </c>
      <c r="K3">
        <v>48.35</v>
      </c>
      <c r="L3">
        <v>78.74</v>
      </c>
      <c r="M3">
        <v>86.09</v>
      </c>
      <c r="N3">
        <v>64.37</v>
      </c>
      <c r="O3">
        <v>73.17</v>
      </c>
      <c r="P3">
        <v>75.59</v>
      </c>
      <c r="Q3">
        <v>38.93</v>
      </c>
      <c r="R3">
        <v>57.13</v>
      </c>
      <c r="S3">
        <v>38.06</v>
      </c>
      <c r="T3">
        <v>57.81</v>
      </c>
      <c r="U3">
        <v>75.68</v>
      </c>
      <c r="V3">
        <v>41.85</v>
      </c>
      <c r="W3">
        <v>27.51</v>
      </c>
      <c r="X3">
        <v>25.21</v>
      </c>
      <c r="Y3">
        <v>45.27</v>
      </c>
      <c r="Z3">
        <v>56.4</v>
      </c>
      <c r="AA3">
        <v>52.79</v>
      </c>
    </row>
    <row r="5" spans="1:30">
      <c r="A5" t="s">
        <v>43</v>
      </c>
      <c r="D5">
        <v>40.86</v>
      </c>
      <c r="E5">
        <v>90.63</v>
      </c>
      <c r="F5">
        <v>38.51</v>
      </c>
      <c r="G5">
        <v>92.31</v>
      </c>
      <c r="H5">
        <v>44.48</v>
      </c>
      <c r="I5">
        <v>86.37</v>
      </c>
      <c r="J5">
        <v>30.5</v>
      </c>
      <c r="K5">
        <v>60.52</v>
      </c>
      <c r="L5">
        <v>76.99</v>
      </c>
      <c r="M5">
        <v>87.09</v>
      </c>
      <c r="N5">
        <v>66.21</v>
      </c>
      <c r="O5">
        <v>73.36</v>
      </c>
      <c r="P5">
        <v>75.91</v>
      </c>
      <c r="Q5">
        <v>38.45</v>
      </c>
      <c r="R5">
        <v>56.87</v>
      </c>
      <c r="S5">
        <v>38.17</v>
      </c>
      <c r="T5">
        <v>68.35</v>
      </c>
      <c r="U5">
        <v>75.33</v>
      </c>
      <c r="V5">
        <v>41.42</v>
      </c>
      <c r="W5">
        <v>28.39</v>
      </c>
      <c r="X5">
        <v>24.44</v>
      </c>
      <c r="Y5">
        <v>46.43</v>
      </c>
      <c r="Z5">
        <v>60.95</v>
      </c>
      <c r="AA5">
        <v>57.83</v>
      </c>
    </row>
  </sheetData>
  <mergeCells count="3">
    <mergeCell ref="D1:K1"/>
    <mergeCell ref="L1:P1"/>
    <mergeCell ref="Q1:Y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6"/>
  <sheetViews>
    <sheetView workbookViewId="0">
      <selection activeCell="C11" sqref="C11"/>
    </sheetView>
  </sheetViews>
  <sheetFormatPr defaultColWidth="14" defaultRowHeight="13" outlineLevelRow="5" outlineLevelCol="4"/>
  <sheetData>
    <row r="1" spans="1:5">
      <c r="B1" s="11" t="s">
        <v>44</v>
      </c>
      <c r="C1" s="11" t="s">
        <v>45</v>
      </c>
      <c r="D1" s="11" t="s">
        <v>46</v>
      </c>
    </row>
    <row r="2" spans="1:5">
      <c r="A2" s="11" t="s">
        <v>47</v>
      </c>
      <c r="B2" s="11">
        <v>91.21</v>
      </c>
      <c r="C2" s="11">
        <v>90.84</v>
      </c>
      <c r="D2" s="11">
        <v>96.32</v>
      </c>
      <c r="E2" s="12" t="s">
        <v>48</v>
      </c>
    </row>
    <row r="3" spans="1:5">
      <c r="A3" s="11" t="s">
        <v>49</v>
      </c>
      <c r="B3" s="11">
        <v>78.98</v>
      </c>
      <c r="C3" s="11">
        <v>82.08</v>
      </c>
      <c r="D3" s="11">
        <v>90.26</v>
      </c>
      <c r="E3" s="12"/>
    </row>
    <row r="4" spans="1:5">
      <c r="A4" s="11" t="s">
        <v>50</v>
      </c>
      <c r="B4" s="11">
        <v>62.93</v>
      </c>
      <c r="C4" s="11">
        <v>59.79</v>
      </c>
      <c r="D4" s="11">
        <v>89.88</v>
      </c>
      <c r="E4" s="12"/>
    </row>
    <row r="5" spans="1:5">
      <c r="A5" s="11" t="s">
        <v>51</v>
      </c>
      <c r="B5" s="11">
        <v>89.06</v>
      </c>
      <c r="C5" s="11">
        <v>88.9</v>
      </c>
      <c r="D5" s="11">
        <v>97.26</v>
      </c>
      <c r="E5" s="12"/>
    </row>
    <row r="6" spans="1:5">
      <c r="A6" s="11" t="s">
        <v>52</v>
      </c>
      <c r="B6" s="11">
        <v>90.8</v>
      </c>
      <c r="C6" s="11">
        <v>90.37</v>
      </c>
      <c r="D6" s="11">
        <v>97.84</v>
      </c>
      <c r="E6" s="12"/>
    </row>
  </sheetData>
  <mergeCells count="1">
    <mergeCell ref="E2:E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20"/>
  <sheetViews>
    <sheetView workbookViewId="0">
      <selection activeCell="AB4" sqref="AB4"/>
    </sheetView>
  </sheetViews>
  <sheetFormatPr defaultColWidth="14" defaultRowHeight="13"/>
  <cols>
    <col min="1" max="27" width="10" customWidth="1"/>
    <col min="28" max="28" width="16" customWidth="1"/>
    <col min="29" max="29" width="10" customWidth="1"/>
  </cols>
  <sheetData>
    <row r="1" ht="15" customHeight="1" spans="1:29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3"/>
      <c r="L1" s="2" t="s">
        <v>4</v>
      </c>
      <c r="M1" s="2"/>
      <c r="N1" s="2"/>
      <c r="O1" s="2"/>
      <c r="P1" s="3"/>
      <c r="Q1" s="2" t="s">
        <v>5</v>
      </c>
      <c r="R1" s="2"/>
      <c r="S1" s="2"/>
      <c r="T1" s="2"/>
      <c r="U1" s="2"/>
      <c r="V1" s="2"/>
      <c r="W1" s="2"/>
      <c r="X1" s="2"/>
      <c r="Y1" s="3"/>
      <c r="Z1" s="3"/>
      <c r="AA1" s="3"/>
      <c r="AB1" s="2" t="s">
        <v>6</v>
      </c>
      <c r="AC1" s="4" t="s">
        <v>7</v>
      </c>
    </row>
    <row r="2" ht="29" customHeight="1" spans="1:29">
      <c r="A2" s="5"/>
      <c r="B2" s="5"/>
      <c r="C2" s="5"/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3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3" t="s">
        <v>16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X2" s="4" t="s">
        <v>28</v>
      </c>
      <c r="Y2" s="3" t="s">
        <v>16</v>
      </c>
      <c r="Z2" s="3" t="s">
        <v>29</v>
      </c>
      <c r="AA2" s="3" t="s">
        <v>38</v>
      </c>
      <c r="AB2" s="4"/>
    </row>
    <row r="3" ht="15" customHeight="1" spans="1:29">
      <c r="A3" s="9" t="s">
        <v>53</v>
      </c>
      <c r="B3" s="10" t="s">
        <v>37</v>
      </c>
      <c r="C3" s="9" t="s">
        <v>54</v>
      </c>
      <c r="D3" s="9">
        <v>36.11</v>
      </c>
      <c r="E3" s="9">
        <v>87.1</v>
      </c>
      <c r="F3" s="9">
        <v>59.31</v>
      </c>
      <c r="G3" s="9">
        <v>92.32</v>
      </c>
      <c r="H3" s="9">
        <v>74.57</v>
      </c>
      <c r="I3" s="9">
        <v>86.71</v>
      </c>
      <c r="J3" s="9">
        <v>25.35</v>
      </c>
      <c r="K3" s="9">
        <v>65.92</v>
      </c>
      <c r="L3" s="9">
        <v>82.17</v>
      </c>
      <c r="M3" s="9">
        <v>92.87</v>
      </c>
      <c r="N3" s="9">
        <v>78.29</v>
      </c>
      <c r="O3" s="9">
        <v>73.65</v>
      </c>
      <c r="P3" s="9">
        <v>81.75</v>
      </c>
      <c r="Q3" s="9">
        <v>64.41</v>
      </c>
      <c r="R3" s="9">
        <v>60.01</v>
      </c>
      <c r="S3" s="9">
        <v>47.45</v>
      </c>
      <c r="T3" s="9">
        <v>76.51</v>
      </c>
      <c r="U3" s="9">
        <v>75.27</v>
      </c>
      <c r="V3" s="9">
        <v>47.38</v>
      </c>
      <c r="W3" s="9">
        <v>28.83</v>
      </c>
      <c r="X3" s="9">
        <v>38.32</v>
      </c>
      <c r="Y3" s="9">
        <v>54.77</v>
      </c>
      <c r="Z3" s="9">
        <v>67.48</v>
      </c>
      <c r="AA3" s="9">
        <v>64.56</v>
      </c>
      <c r="AB3" s="9" t="s">
        <v>55</v>
      </c>
      <c r="AC3" s="9">
        <v>74</v>
      </c>
    </row>
    <row r="4" ht="15" customHeight="1" spans="1:29">
      <c r="A4" s="9" t="s">
        <v>56</v>
      </c>
      <c r="B4" s="10" t="s">
        <v>37</v>
      </c>
      <c r="C4" s="9" t="s">
        <v>54</v>
      </c>
      <c r="D4" s="9">
        <v>55.09</v>
      </c>
      <c r="E4" s="9">
        <v>90.66</v>
      </c>
      <c r="F4" s="9">
        <v>66.06</v>
      </c>
      <c r="G4" s="9">
        <v>96.55</v>
      </c>
      <c r="H4" s="9">
        <v>82.31</v>
      </c>
      <c r="I4" s="9">
        <v>87.33</v>
      </c>
      <c r="J4" s="9">
        <v>39.83</v>
      </c>
      <c r="K4" s="9">
        <v>73.98</v>
      </c>
      <c r="L4" s="9">
        <v>84.95</v>
      </c>
      <c r="M4" s="9">
        <v>95.19</v>
      </c>
      <c r="N4" s="9">
        <v>83.9</v>
      </c>
      <c r="O4" s="9">
        <v>73.93</v>
      </c>
      <c r="P4" s="9">
        <v>84.49</v>
      </c>
      <c r="Q4" s="9">
        <v>71.91</v>
      </c>
      <c r="R4" s="9">
        <v>62.92</v>
      </c>
      <c r="S4" s="9">
        <v>49.61</v>
      </c>
      <c r="T4" s="9">
        <v>79.47</v>
      </c>
      <c r="U4" s="9">
        <v>82.05</v>
      </c>
      <c r="V4" s="9">
        <v>49.53</v>
      </c>
      <c r="W4" s="9">
        <v>33.05</v>
      </c>
      <c r="X4" s="9">
        <v>42.71</v>
      </c>
      <c r="Y4" s="9">
        <v>58.91</v>
      </c>
      <c r="Z4" s="9">
        <v>72.46</v>
      </c>
      <c r="AA4" s="9">
        <v>69.84</v>
      </c>
      <c r="AB4" s="9" t="s">
        <v>57</v>
      </c>
      <c r="AC4" s="9">
        <v>74</v>
      </c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mergeCells count="3">
    <mergeCell ref="D1:K1"/>
    <mergeCell ref="L1:P1"/>
    <mergeCell ref="Q1:Y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20"/>
  <sheetViews>
    <sheetView tabSelected="1" workbookViewId="0">
      <selection activeCell="A1" sqref="A1"/>
    </sheetView>
  </sheetViews>
  <sheetFormatPr defaultColWidth="14" defaultRowHeight="13"/>
  <cols>
    <col min="1" max="26" width="10" customWidth="1"/>
    <col min="27" max="27" width="14" customWidth="1"/>
    <col min="28" max="29" width="10" customWidth="1"/>
  </cols>
  <sheetData>
    <row r="1" ht="29" customHeight="1" spans="1:29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3"/>
      <c r="L1" s="2" t="s">
        <v>4</v>
      </c>
      <c r="M1" s="2"/>
      <c r="N1" s="2"/>
      <c r="O1" s="2"/>
      <c r="P1" s="3"/>
      <c r="Q1" s="2" t="s">
        <v>5</v>
      </c>
      <c r="R1" s="2"/>
      <c r="S1" s="2"/>
      <c r="T1" s="2"/>
      <c r="U1" s="2"/>
      <c r="V1" s="2"/>
      <c r="W1" s="2"/>
      <c r="X1" s="2"/>
      <c r="Y1" s="3"/>
      <c r="Z1" s="3"/>
      <c r="AA1" s="3"/>
      <c r="AB1" s="2" t="s">
        <v>6</v>
      </c>
      <c r="AC1" s="4" t="s">
        <v>7</v>
      </c>
    </row>
    <row r="2" ht="29" customHeight="1" spans="1:29">
      <c r="A2" s="4"/>
      <c r="B2" s="4"/>
      <c r="C2" s="4"/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3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3" t="s">
        <v>16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X2" s="4" t="s">
        <v>28</v>
      </c>
      <c r="Y2" s="3" t="s">
        <v>16</v>
      </c>
      <c r="Z2" s="3" t="s">
        <v>29</v>
      </c>
      <c r="AA2" s="3" t="s">
        <v>38</v>
      </c>
      <c r="AB2" s="4"/>
    </row>
    <row r="3" ht="29" customHeight="1" spans="1:29">
      <c r="A3" s="5" t="s">
        <v>58</v>
      </c>
      <c r="B3" s="5" t="s">
        <v>37</v>
      </c>
      <c r="C3" s="5" t="s">
        <v>59</v>
      </c>
      <c r="D3" s="6">
        <v>33.95</v>
      </c>
      <c r="E3" s="6">
        <v>80.87</v>
      </c>
      <c r="F3" s="6">
        <v>58.94</v>
      </c>
      <c r="G3" s="6">
        <v>89.1</v>
      </c>
      <c r="H3" s="6">
        <v>67.1</v>
      </c>
      <c r="I3" s="6">
        <v>84.42</v>
      </c>
      <c r="J3" s="6">
        <v>19.57</v>
      </c>
      <c r="K3" s="7">
        <v>61.99</v>
      </c>
      <c r="L3" s="6">
        <v>82.82</v>
      </c>
      <c r="M3" s="6">
        <v>94.39</v>
      </c>
      <c r="N3" s="6">
        <v>77.92</v>
      </c>
      <c r="O3" s="6">
        <v>74.6</v>
      </c>
      <c r="P3" s="7">
        <v>82.43</v>
      </c>
      <c r="Q3" s="6">
        <v>70.91</v>
      </c>
      <c r="R3" s="6">
        <v>61.6</v>
      </c>
      <c r="S3" s="6">
        <v>47.52</v>
      </c>
      <c r="T3" s="6">
        <v>77.78</v>
      </c>
      <c r="U3" s="6">
        <v>76.8</v>
      </c>
      <c r="V3" s="6">
        <v>50.19</v>
      </c>
      <c r="W3" s="6">
        <v>31.92</v>
      </c>
      <c r="X3" s="6">
        <v>40.21</v>
      </c>
      <c r="Y3" s="7">
        <v>57.12</v>
      </c>
      <c r="Z3" s="7">
        <v>67.18</v>
      </c>
      <c r="AA3" s="7">
        <v>64.24</v>
      </c>
      <c r="AB3" s="8"/>
      <c r="AC3" s="8"/>
    </row>
    <row r="4" ht="29" customHeight="1" spans="1:29">
      <c r="A4" s="5" t="s">
        <v>60</v>
      </c>
      <c r="B4" s="8"/>
      <c r="C4" s="8"/>
      <c r="D4" s="6">
        <v>51.12</v>
      </c>
      <c r="E4" s="6">
        <v>88.48</v>
      </c>
      <c r="F4" s="6">
        <v>63.14</v>
      </c>
      <c r="G4" s="6">
        <v>94.75</v>
      </c>
      <c r="H4" s="6">
        <v>80.51</v>
      </c>
      <c r="I4" s="6">
        <v>88.04</v>
      </c>
      <c r="J4" s="6">
        <v>34.25</v>
      </c>
      <c r="K4" s="7">
        <v>71.47</v>
      </c>
      <c r="L4" s="6">
        <v>83.86</v>
      </c>
      <c r="M4" s="6">
        <v>94.81</v>
      </c>
      <c r="N4" s="6">
        <v>81.94</v>
      </c>
      <c r="O4" s="6">
        <v>74.22</v>
      </c>
      <c r="P4" s="7">
        <v>83.71</v>
      </c>
      <c r="Q4" s="6">
        <v>71.61</v>
      </c>
      <c r="R4" s="6">
        <v>62.25</v>
      </c>
      <c r="S4" s="6">
        <v>47.97</v>
      </c>
      <c r="T4" s="6">
        <v>80.03</v>
      </c>
      <c r="U4" s="6">
        <v>78.43</v>
      </c>
      <c r="V4" s="6">
        <v>49.94</v>
      </c>
      <c r="W4" s="6">
        <v>32.74</v>
      </c>
      <c r="X4" s="6">
        <v>40.24</v>
      </c>
      <c r="Y4" s="7">
        <v>57.9</v>
      </c>
      <c r="Z4" s="7">
        <v>71.03</v>
      </c>
      <c r="AA4" s="7">
        <v>68.33</v>
      </c>
      <c r="AB4" s="8"/>
      <c r="AC4" s="8"/>
    </row>
    <row r="5" ht="29" customHeight="1" spans="1:29">
      <c r="A5" s="5" t="s">
        <v>61</v>
      </c>
      <c r="B5" s="8"/>
      <c r="C5" s="8"/>
      <c r="D5" s="6">
        <v>54.25</v>
      </c>
      <c r="E5" s="6">
        <v>90.29</v>
      </c>
      <c r="F5" s="6">
        <v>65.37</v>
      </c>
      <c r="G5" s="6">
        <v>95.54</v>
      </c>
      <c r="H5" s="6">
        <v>81.9</v>
      </c>
      <c r="I5" s="6">
        <v>87.98</v>
      </c>
      <c r="J5" s="6">
        <v>37.92</v>
      </c>
      <c r="K5" s="7">
        <v>73.32</v>
      </c>
      <c r="L5" s="6">
        <v>84.1</v>
      </c>
      <c r="M5" s="6">
        <v>95.3</v>
      </c>
      <c r="N5" s="6">
        <v>82.84</v>
      </c>
      <c r="O5" s="6">
        <v>74.16</v>
      </c>
      <c r="P5" s="7">
        <v>84.1</v>
      </c>
      <c r="Q5" s="6">
        <v>72.33</v>
      </c>
      <c r="R5" s="6">
        <v>61.47</v>
      </c>
      <c r="S5" s="6">
        <v>49.63</v>
      </c>
      <c r="T5" s="6">
        <v>79.47</v>
      </c>
      <c r="U5" s="6">
        <v>81.41</v>
      </c>
      <c r="V5" s="6">
        <v>52.7</v>
      </c>
      <c r="W5" s="6">
        <v>33.91</v>
      </c>
      <c r="X5" s="6">
        <v>43.23</v>
      </c>
      <c r="Y5" s="7">
        <v>59.27</v>
      </c>
      <c r="Z5" s="7">
        <v>72.23</v>
      </c>
      <c r="AA5" s="7">
        <v>69.67</v>
      </c>
      <c r="AB5" s="8"/>
      <c r="AC5" s="8"/>
    </row>
    <row r="6" ht="29" customHeight="1" spans="1:29">
      <c r="A6" s="5" t="s">
        <v>62</v>
      </c>
      <c r="B6" s="8"/>
      <c r="C6" s="8"/>
      <c r="D6" s="6">
        <v>55.22</v>
      </c>
      <c r="E6" s="6">
        <v>90.7</v>
      </c>
      <c r="F6" s="6">
        <v>66.12</v>
      </c>
      <c r="G6" s="6">
        <v>96.05</v>
      </c>
      <c r="H6" s="6">
        <v>81.82</v>
      </c>
      <c r="I6" s="6">
        <v>87.9</v>
      </c>
      <c r="J6" s="6">
        <v>39.46</v>
      </c>
      <c r="K6" s="7">
        <v>73.9</v>
      </c>
      <c r="L6" s="6">
        <v>84.1</v>
      </c>
      <c r="M6" s="6">
        <v>95.02</v>
      </c>
      <c r="N6" s="6">
        <v>83.71</v>
      </c>
      <c r="O6" s="6">
        <v>74.6</v>
      </c>
      <c r="P6" s="7">
        <v>84.36</v>
      </c>
      <c r="Q6" s="6">
        <v>72.18</v>
      </c>
      <c r="R6" s="6">
        <v>61.33</v>
      </c>
      <c r="S6" s="6">
        <v>49.52</v>
      </c>
      <c r="T6" s="6">
        <v>79.75</v>
      </c>
      <c r="U6" s="6">
        <v>80.74</v>
      </c>
      <c r="V6" s="6">
        <v>51.53</v>
      </c>
      <c r="W6" s="6">
        <v>33.83</v>
      </c>
      <c r="X6" s="6">
        <v>42.35</v>
      </c>
      <c r="Y6" s="7">
        <v>58.9</v>
      </c>
      <c r="Z6" s="7">
        <v>72.39</v>
      </c>
      <c r="AA6" s="7">
        <v>69.79</v>
      </c>
      <c r="AB6" s="8"/>
      <c r="AC6" s="8"/>
    </row>
    <row r="7" ht="29" customHeight="1" spans="1:29">
      <c r="A7" s="5" t="s">
        <v>63</v>
      </c>
      <c r="B7" s="8"/>
      <c r="C7" s="8"/>
      <c r="D7" s="6">
        <v>55.84</v>
      </c>
      <c r="E7" s="6">
        <v>90.57</v>
      </c>
      <c r="F7" s="6">
        <v>65.96</v>
      </c>
      <c r="G7" s="6">
        <v>96.36</v>
      </c>
      <c r="H7" s="6">
        <v>82.2</v>
      </c>
      <c r="I7" s="6">
        <v>87.6</v>
      </c>
      <c r="J7" s="6">
        <v>40.24</v>
      </c>
      <c r="K7" s="7">
        <f>AVERAGE(D7:J7)</f>
        <v>74.11</v>
      </c>
      <c r="L7" s="6">
        <v>84.51</v>
      </c>
      <c r="M7" s="6">
        <v>94.74</v>
      </c>
      <c r="N7" s="6">
        <v>83.59</v>
      </c>
      <c r="O7" s="6">
        <v>74.51</v>
      </c>
      <c r="P7" s="7">
        <f>AVERAGE(L7:O7)</f>
        <v>84.3375</v>
      </c>
      <c r="Q7" s="6">
        <v>72.23</v>
      </c>
      <c r="R7" s="6">
        <v>62.09</v>
      </c>
      <c r="S7" s="6">
        <v>50.15</v>
      </c>
      <c r="T7" s="6">
        <v>81.29</v>
      </c>
      <c r="U7" s="6">
        <v>81.41</v>
      </c>
      <c r="V7" s="6">
        <v>51.16</v>
      </c>
      <c r="W7" s="6">
        <v>33.23</v>
      </c>
      <c r="X7" s="6">
        <v>42.7</v>
      </c>
      <c r="Y7" s="7">
        <f>AVERAGE(Q7:X7)</f>
        <v>59.2825</v>
      </c>
      <c r="Z7" s="7">
        <f>AVERAGE(K7,P7,Y7)</f>
        <v>72.5766666666667</v>
      </c>
      <c r="AA7" s="7">
        <f>AVERAGE(D7:J7,L7:O7,Q7:X7)</f>
        <v>70.02</v>
      </c>
      <c r="AB7" s="8"/>
      <c r="AC7" s="8"/>
    </row>
    <row r="8" ht="29" customHeight="1" spans="1:29">
      <c r="A8" s="5" t="s">
        <v>64</v>
      </c>
      <c r="B8" s="8"/>
      <c r="C8" s="8"/>
      <c r="D8" s="6">
        <v>56.09</v>
      </c>
      <c r="E8" s="6">
        <v>90.73</v>
      </c>
      <c r="F8" s="6">
        <v>66.01</v>
      </c>
      <c r="G8" s="6">
        <v>96.37</v>
      </c>
      <c r="H8" s="6">
        <v>82.5</v>
      </c>
      <c r="I8" s="6">
        <v>87.68</v>
      </c>
      <c r="J8" s="6">
        <v>40.58</v>
      </c>
      <c r="K8" s="7">
        <v>74.28</v>
      </c>
      <c r="L8" s="6">
        <v>84.45</v>
      </c>
      <c r="M8" s="6">
        <v>94.87</v>
      </c>
      <c r="N8" s="6">
        <v>83.56</v>
      </c>
      <c r="O8" s="6">
        <v>73.66</v>
      </c>
      <c r="P8" s="7">
        <v>84.13</v>
      </c>
      <c r="Q8" s="6">
        <v>72.97</v>
      </c>
      <c r="R8" s="6">
        <v>62.45</v>
      </c>
      <c r="S8" s="6">
        <v>49.15</v>
      </c>
      <c r="T8" s="6">
        <v>80.03</v>
      </c>
      <c r="U8" s="6">
        <v>82.31</v>
      </c>
      <c r="V8" s="6">
        <v>51.18</v>
      </c>
      <c r="W8" s="6">
        <v>33.78</v>
      </c>
      <c r="X8" s="6">
        <v>43.13</v>
      </c>
      <c r="Y8" s="7">
        <v>59.38</v>
      </c>
      <c r="Z8" s="7">
        <v>72.6</v>
      </c>
      <c r="AA8" s="7">
        <f>AVERAGE(Q8:X8,L8:O8,D8:J8)</f>
        <v>70.0789473684211</v>
      </c>
      <c r="AB8" s="8"/>
      <c r="AC8" s="8"/>
    </row>
    <row r="9" ht="29" customHeight="1" spans="1:29">
      <c r="A9" s="5" t="s">
        <v>65</v>
      </c>
      <c r="B9" s="8"/>
      <c r="C9" s="8"/>
      <c r="D9" s="6">
        <v>55.62</v>
      </c>
      <c r="E9" s="6">
        <v>90.73</v>
      </c>
      <c r="F9" s="6">
        <v>66.44</v>
      </c>
      <c r="G9" s="6">
        <v>96.55</v>
      </c>
      <c r="H9" s="6">
        <v>82.23</v>
      </c>
      <c r="I9" s="6">
        <v>87.74</v>
      </c>
      <c r="J9" s="6">
        <v>40.8</v>
      </c>
      <c r="K9" s="7">
        <v>74.3</v>
      </c>
      <c r="L9" s="6">
        <v>84.44</v>
      </c>
      <c r="M9" s="6">
        <v>95.24</v>
      </c>
      <c r="N9" s="6">
        <v>83.52</v>
      </c>
      <c r="O9" s="6">
        <v>74.2</v>
      </c>
      <c r="P9" s="7">
        <v>84.35</v>
      </c>
      <c r="Q9" s="6">
        <v>72.49</v>
      </c>
      <c r="R9" s="6">
        <v>62.33</v>
      </c>
      <c r="S9" s="6">
        <v>49.9</v>
      </c>
      <c r="T9" s="6">
        <v>79.18</v>
      </c>
      <c r="U9" s="6">
        <v>82.14</v>
      </c>
      <c r="V9" s="6">
        <v>50.97</v>
      </c>
      <c r="W9" s="6">
        <v>33.4</v>
      </c>
      <c r="X9" s="6">
        <v>42.28</v>
      </c>
      <c r="Y9" s="7">
        <v>59.09</v>
      </c>
      <c r="Z9" s="7">
        <v>72.58</v>
      </c>
      <c r="AA9" s="7">
        <v>70.01</v>
      </c>
      <c r="AB9" s="8"/>
      <c r="AC9" s="8"/>
    </row>
    <row r="10" ht="29" customHeight="1" spans="1:29">
      <c r="A10" s="5" t="s">
        <v>66</v>
      </c>
      <c r="B10" s="8"/>
      <c r="C10" s="8"/>
      <c r="D10" s="6">
        <v>56.06</v>
      </c>
      <c r="E10" s="6">
        <v>90.55</v>
      </c>
      <c r="F10" s="6">
        <v>65.37</v>
      </c>
      <c r="G10" s="6">
        <v>96.71</v>
      </c>
      <c r="H10" s="6">
        <v>82.77</v>
      </c>
      <c r="I10" s="6">
        <v>87.8</v>
      </c>
      <c r="J10" s="6">
        <v>40.64</v>
      </c>
      <c r="K10" s="7">
        <v>74.27</v>
      </c>
      <c r="L10" s="6">
        <v>85.16</v>
      </c>
      <c r="M10" s="6">
        <v>95.17</v>
      </c>
      <c r="N10" s="6">
        <v>84.41</v>
      </c>
      <c r="O10" s="6">
        <v>74.62</v>
      </c>
      <c r="P10" s="7">
        <v>84.84</v>
      </c>
      <c r="Q10" s="6">
        <v>72.19</v>
      </c>
      <c r="R10" s="6">
        <v>61.85</v>
      </c>
      <c r="S10" s="6">
        <v>49.3</v>
      </c>
      <c r="T10" s="6">
        <v>79.18</v>
      </c>
      <c r="U10" s="6">
        <v>82.01</v>
      </c>
      <c r="V10" s="6">
        <v>50.43</v>
      </c>
      <c r="W10" s="6">
        <v>33.23</v>
      </c>
      <c r="X10" s="6">
        <v>42.83</v>
      </c>
      <c r="Y10" s="7">
        <v>58.88</v>
      </c>
      <c r="Z10" s="7">
        <v>72.66</v>
      </c>
      <c r="AA10" s="7">
        <v>70.01</v>
      </c>
      <c r="AB10" s="8"/>
      <c r="AC10" s="8"/>
    </row>
    <row r="11" ht="29" customHeight="1" spans="1:29">
      <c r="A11" s="5" t="s">
        <v>67</v>
      </c>
      <c r="B11" s="8"/>
      <c r="C11" s="8"/>
      <c r="D11" s="6">
        <v>55.28</v>
      </c>
      <c r="E11" s="6">
        <v>90.75</v>
      </c>
      <c r="F11" s="6">
        <v>65.11</v>
      </c>
      <c r="G11" s="6">
        <v>96.58</v>
      </c>
      <c r="H11" s="6">
        <v>82.28</v>
      </c>
      <c r="I11" s="6">
        <v>87.03</v>
      </c>
      <c r="J11" s="6">
        <v>40.57</v>
      </c>
      <c r="K11" s="7">
        <v>73.94</v>
      </c>
      <c r="L11" s="6">
        <v>84.96</v>
      </c>
      <c r="M11" s="6">
        <v>95.11</v>
      </c>
      <c r="N11" s="6">
        <v>83.4</v>
      </c>
      <c r="O11" s="6">
        <v>73.64</v>
      </c>
      <c r="P11" s="7">
        <v>84.28</v>
      </c>
      <c r="Q11" s="6">
        <v>71.8</v>
      </c>
      <c r="R11" s="6">
        <v>62.47</v>
      </c>
      <c r="S11" s="6">
        <v>49.73</v>
      </c>
      <c r="T11" s="6">
        <v>80.45</v>
      </c>
      <c r="U11" s="6">
        <v>81.9</v>
      </c>
      <c r="V11" s="6">
        <v>49.53</v>
      </c>
      <c r="W11" s="6">
        <v>32.89</v>
      </c>
      <c r="X11" s="6">
        <v>41.51</v>
      </c>
      <c r="Y11" s="7">
        <v>58.78</v>
      </c>
      <c r="Z11" s="7">
        <v>72.34</v>
      </c>
      <c r="AA11" s="7">
        <v>69.74</v>
      </c>
      <c r="AB11" s="8"/>
      <c r="AC11" s="8"/>
    </row>
    <row r="12" ht="29" customHeight="1" spans="1:29">
      <c r="A12" s="5" t="s">
        <v>68</v>
      </c>
      <c r="B12" s="8"/>
      <c r="C12" s="8"/>
      <c r="D12" s="6">
        <v>56.07</v>
      </c>
      <c r="E12" s="6">
        <v>90.71</v>
      </c>
      <c r="F12" s="6">
        <v>64.36</v>
      </c>
      <c r="G12" s="6">
        <v>96.65</v>
      </c>
      <c r="H12" s="6">
        <v>82.12</v>
      </c>
      <c r="I12" s="6">
        <v>86.85</v>
      </c>
      <c r="J12" s="6">
        <v>40.61</v>
      </c>
      <c r="K12" s="7">
        <v>73.91</v>
      </c>
      <c r="L12" s="6">
        <v>83.82</v>
      </c>
      <c r="M12" s="6">
        <v>95.28</v>
      </c>
      <c r="N12" s="6">
        <v>83.38</v>
      </c>
      <c r="O12" s="6">
        <v>74.24</v>
      </c>
      <c r="P12" s="7">
        <v>84.18</v>
      </c>
      <c r="Q12" s="6">
        <v>69.73</v>
      </c>
      <c r="R12" s="6">
        <v>61.47</v>
      </c>
      <c r="S12" s="6">
        <v>48.56</v>
      </c>
      <c r="T12" s="6">
        <v>80.03</v>
      </c>
      <c r="U12" s="6">
        <v>81.4</v>
      </c>
      <c r="V12" s="6">
        <v>48.96</v>
      </c>
      <c r="W12" s="6">
        <v>31.84</v>
      </c>
      <c r="X12" s="6">
        <v>40.81</v>
      </c>
      <c r="Y12" s="7">
        <v>57.85</v>
      </c>
      <c r="Z12" s="7">
        <v>71.98</v>
      </c>
      <c r="AA12" s="7">
        <v>69.31</v>
      </c>
      <c r="AB12" s="8"/>
      <c r="AC12" s="8"/>
    </row>
    <row r="13" ht="29" customHeight="1" spans="1:29">
      <c r="A13" s="5" t="s">
        <v>69</v>
      </c>
      <c r="B13" s="8"/>
      <c r="C13" s="8"/>
      <c r="D13" s="6">
        <v>55.22</v>
      </c>
      <c r="E13" s="6">
        <v>90.66</v>
      </c>
      <c r="F13" s="6">
        <v>64.52</v>
      </c>
      <c r="G13" s="6">
        <v>96.58</v>
      </c>
      <c r="H13" s="6">
        <v>81.71</v>
      </c>
      <c r="I13" s="6">
        <v>86.36</v>
      </c>
      <c r="J13" s="6">
        <v>40.86</v>
      </c>
      <c r="K13" s="7">
        <v>73.7</v>
      </c>
      <c r="L13" s="6">
        <v>83.98</v>
      </c>
      <c r="M13" s="6">
        <v>94.94</v>
      </c>
      <c r="N13" s="6">
        <v>83.3</v>
      </c>
      <c r="O13" s="6">
        <v>74.2</v>
      </c>
      <c r="P13" s="7">
        <v>84.11</v>
      </c>
      <c r="Q13" s="6">
        <v>70.06</v>
      </c>
      <c r="R13" s="6">
        <v>61.23</v>
      </c>
      <c r="S13" s="6">
        <v>48.88</v>
      </c>
      <c r="T13" s="6">
        <v>80.17</v>
      </c>
      <c r="U13" s="6">
        <v>81</v>
      </c>
      <c r="V13" s="6">
        <v>48.86</v>
      </c>
      <c r="W13" s="6">
        <v>31.8</v>
      </c>
      <c r="X13" s="6">
        <v>40.91</v>
      </c>
      <c r="Y13" s="7">
        <v>57.86</v>
      </c>
      <c r="Z13" s="7">
        <v>71.89</v>
      </c>
      <c r="AA13" s="7">
        <v>69.22</v>
      </c>
      <c r="AB13" s="8"/>
      <c r="AC13" s="8"/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mergeCells count="3">
    <mergeCell ref="D1:K1"/>
    <mergeCell ref="L1:P1"/>
    <mergeCell ref="Q1:Y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vitb_vtab</vt:lpstr>
      <vt:lpstr>vitl_vtab</vt:lpstr>
      <vt:lpstr>QAT_baselines</vt:lpstr>
      <vt:lpstr>full_img_cls</vt:lpstr>
      <vt:lpstr>abl_on_shift</vt:lpstr>
      <vt:lpstr>abl_on_drop_epc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国服龙哥</cp:lastModifiedBy>
  <dcterms:created xsi:type="dcterms:W3CDTF">2026-01-10T00:21:00Z</dcterms:created>
  <dcterms:modified xsi:type="dcterms:W3CDTF">2026-04-28T03:53:48Z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A20766FCFE8142F1B06E0945ED31B65D_13</vt:lpwstr>
  </property>
</Properties>
</file>